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-responses-pt-br" sheetId="1" r:id="rId5"/>
    <sheet state="visible" name="sus-en" sheetId="2" r:id="rId6"/>
    <sheet state="visible" name="percepcao-en" sheetId="3" r:id="rId7"/>
    <sheet state="visible" name="profile" sheetId="4" r:id="rId8"/>
    <sheet state="visible" name="familiarity-vs-work-experience" sheetId="5" r:id="rId9"/>
  </sheets>
  <definedNames/>
  <calcPr/>
</workbook>
</file>

<file path=xl/sharedStrings.xml><?xml version="1.0" encoding="utf-8"?>
<sst xmlns="http://schemas.openxmlformats.org/spreadsheetml/2006/main" count="289" uniqueCount="120">
  <si>
    <t>Timestamp</t>
  </si>
  <si>
    <t>pt-br</t>
  </si>
  <si>
    <t>I think I would like to use this catalogue frequently</t>
  </si>
  <si>
    <t>Você concorda em participar deste estudo?</t>
  </si>
  <si>
    <t>Qual era seu nível de familiaridade com temas relacionados à proteção de dados pessoais (como LGPD/GDPR)?</t>
  </si>
  <si>
    <t>Qual sua formação acadêmica?</t>
  </si>
  <si>
    <t>Qual sua área de formação?</t>
  </si>
  <si>
    <t>Você já atua ou atuou profissionalmente na área de desenvolvimento de software ou áreas afins (ex: desenvolvedor, analista, PO, UX, testes, suporte técnico, banco de dados, consultor)?</t>
  </si>
  <si>
    <t>As diretrizes facilitaram a proposição de melhorias no sistema analisado.</t>
  </si>
  <si>
    <t>I found the catalogue unnecessarily complex</t>
  </si>
  <si>
    <t>N</t>
  </si>
  <si>
    <t>Foi fácil identificar diretrizes que se relacionavam aos problemas identificados.</t>
  </si>
  <si>
    <t>I thought the catalogue was easy to use</t>
  </si>
  <si>
    <t>The guidelines facilitated the proposal of improvements to the analysed system</t>
  </si>
  <si>
    <t>en</t>
  </si>
  <si>
    <t>As diretrizes são adequadas a contextos reais de sistemas digitais.</t>
  </si>
  <si>
    <t>I think I would need technical support to use the catalogue</t>
  </si>
  <si>
    <t>O uso das diretrizes facilitou o entendimento da aplicação dos princípios e direitos legais de proteção de dados pessoais.</t>
  </si>
  <si>
    <t>I found the functions in the catalogue well integrated</t>
  </si>
  <si>
    <t>Sinto que agora consigo desenvolver sistemas digitais melhores, considerando práticas de proteção de dados.</t>
  </si>
  <si>
    <t>Familiarity with data protection topics</t>
  </si>
  <si>
    <t>Eu acho que gostaria de usar esse catálogo com frequência</t>
  </si>
  <si>
    <t>Já tinha ouvido falar, mas nunca estudei</t>
  </si>
  <si>
    <t>Eu acho o catálogo desnecessariamente complexo.</t>
  </si>
  <si>
    <t>Heard of it, never studied</t>
  </si>
  <si>
    <t>Eu achei o catálogo fácil de usar.</t>
  </si>
  <si>
    <t>Eu acho que precisaria de ajuda de uma pessoa com conhecimentos técnicos para usar esse catálogo.</t>
  </si>
  <si>
    <t>I thought there were too many inconsistencies in the catalogue</t>
  </si>
  <si>
    <t>Eu acho que as várias funções do catálogo estão muito bem integradas.</t>
  </si>
  <si>
    <t>Eu acho que o catálogo apresenta muita inconsistência.</t>
  </si>
  <si>
    <t>Eu imagino que as pessoas aprenderão como usar esse catálogo rapidamente.</t>
  </si>
  <si>
    <t>Eu achei o catálogo não prático de usar.</t>
  </si>
  <si>
    <t>Eu me senti confiante ao usar o catálogo.</t>
  </si>
  <si>
    <t>Eu precisei aprender várias coisas novas antes de conseguir usar o catálogo.</t>
  </si>
  <si>
    <t>I imagine people would learn to use the catalogue quickly</t>
  </si>
  <si>
    <t>Gostaria de deixar algum comentário sobre o uso do catálogo, sua experiência com a atividade ou sugestões de melhoria?</t>
  </si>
  <si>
    <t>I found the catalogue impractical to use</t>
  </si>
  <si>
    <t>2025/06/16 7:03:09 PM GMT-3</t>
  </si>
  <si>
    <t>I felt confident using the catalogue</t>
  </si>
  <si>
    <t>Sim, concordo em participar</t>
  </si>
  <si>
    <t>Já tinha ouvido falar, mas nunca estudei.</t>
  </si>
  <si>
    <t>I had to learn many things before I could use the catalogue</t>
  </si>
  <si>
    <t>Estou cursando graduação.</t>
  </si>
  <si>
    <t>Área de TI.</t>
  </si>
  <si>
    <t>SUS score</t>
  </si>
  <si>
    <t>Tenho menos de 1 ano de experiência profissional.</t>
  </si>
  <si>
    <t>It was easy to identify guidelines that matched the identified problems</t>
  </si>
  <si>
    <t>Já estudei formalmente o tema (ex: em outras disciplinas, cursos, leitura de legislação), mas nunca apliquei</t>
  </si>
  <si>
    <t>Studied formally, never applied</t>
  </si>
  <si>
    <t>The guidelines are adequate for real-world digital system contexts</t>
  </si>
  <si>
    <t>2025/06/16 7:05:37 PM GMT-3</t>
  </si>
  <si>
    <t>Já apliquei proteção de dados pessoais em desenvolvimento de sistemas.</t>
  </si>
  <si>
    <t>The guidelines helped me understand legal data protection principles and rights</t>
  </si>
  <si>
    <t>Tenho entre 1 e 2 anos de experiência profissional.</t>
  </si>
  <si>
    <t>Nunca tinha tido contato com o tema</t>
  </si>
  <si>
    <t>Never had contact with the topic</t>
  </si>
  <si>
    <t>I now feel more prepared to develop digital systems with data protection in mind</t>
  </si>
  <si>
    <t>2025/06/16 7:19:18 PM GMT-3</t>
  </si>
  <si>
    <t>Já estudei formalmente o tema (ex: em outras disciplinas, cursos, leitura de legislação), mas nunca apliquei.</t>
  </si>
  <si>
    <t>Já apliquei proteção de dados pessoais em desenvolvimento de sistemas</t>
  </si>
  <si>
    <t>Applied in system development</t>
  </si>
  <si>
    <t>Desempenho ou já desempenhei um papel específico referente à proteção de dados pessoais (controlador, operador, encarregado, consultor, auditor...).</t>
  </si>
  <si>
    <t>Data protection-related role</t>
  </si>
  <si>
    <t>Não</t>
  </si>
  <si>
    <t>2025/06/16 7:19:35 PM GMT-3</t>
  </si>
  <si>
    <t>Total</t>
  </si>
  <si>
    <t>Estou cursando graduação</t>
  </si>
  <si>
    <t>Tenho Graduação</t>
  </si>
  <si>
    <t>Educational background</t>
  </si>
  <si>
    <t>2025/06/16 7:19:36 PM GMT-3</t>
  </si>
  <si>
    <t>Área de TI</t>
  </si>
  <si>
    <t>IT-related background</t>
  </si>
  <si>
    <t>Tenho entre 2 a 5 anos de experiência profissional.</t>
  </si>
  <si>
    <t>2025/06/16 7:20:21 PM GMT-3</t>
  </si>
  <si>
    <t>Área de Design</t>
  </si>
  <si>
    <t>Design</t>
  </si>
  <si>
    <t>2025/06/16 7:20:32 PM GMT-3</t>
  </si>
  <si>
    <t>Work experience in SE or related areas</t>
  </si>
  <si>
    <t>Tenho entre 1 e 2 anos de experiência profissional</t>
  </si>
  <si>
    <t>1-2 years</t>
  </si>
  <si>
    <t>2025/06/16 7:20:34 PM GMT-3</t>
  </si>
  <si>
    <t>Tenho mais de 5 anos de experiência profissional.</t>
  </si>
  <si>
    <t>Tenho entre 2 a 5 anos de experiência profissional</t>
  </si>
  <si>
    <t>2-5 years</t>
  </si>
  <si>
    <t>2025/06/16 7:22:02 PM GMT-3</t>
  </si>
  <si>
    <t>Tenho menos de 1 ano de experiência profissional</t>
  </si>
  <si>
    <t>&lt;1 year</t>
  </si>
  <si>
    <t>Não tenho experiência profissional</t>
  </si>
  <si>
    <t>2025/06/16 7:22:04 PM GMT-3</t>
  </si>
  <si>
    <t>No experience</t>
  </si>
  <si>
    <t>Tenho mais de 5 anos de experiência profissional</t>
  </si>
  <si>
    <t>&gt; 5 years</t>
  </si>
  <si>
    <t>2025/06/16 7:22:24 PM GMT-3</t>
  </si>
  <si>
    <t>Tenho esperiência em outras áreas</t>
  </si>
  <si>
    <t>Other areas only</t>
  </si>
  <si>
    <t>2025/06/16 7:23:56 PM GMT-3</t>
  </si>
  <si>
    <t>2025/06/16 7:26:58 PM GMT-3</t>
  </si>
  <si>
    <t>Algumas diretrizes podem ter títulos mais conexos com suas soluções, ou ter soluções mais amplas para caber naquele problema e seus casos de uso. O quadro de Escolhas de Privacidade e de Controle auxiliam na ligação com a LGPD e GPDR.</t>
  </si>
  <si>
    <t>2025/06/16 7:27:05 PM GMT-3</t>
  </si>
  <si>
    <t>2025/06/16 7:27:07 PM GMT-3</t>
  </si>
  <si>
    <t>2025/06/16 7:27:27 PM GMT-3</t>
  </si>
  <si>
    <t xml:space="preserve">Seria legal ter um índice central com todos os tópicos para não precisar navegar em árvore </t>
  </si>
  <si>
    <t>2025/06/16 7:29:26 PM GMT-3</t>
  </si>
  <si>
    <t>Tenho graduação.</t>
  </si>
  <si>
    <t>Área de Design.</t>
  </si>
  <si>
    <t>2025/06/16 7:30:16 PM GMT-3</t>
  </si>
  <si>
    <t>2025/06/16 7:30:47 PM GMT-3</t>
  </si>
  <si>
    <t>Nunca tinha tido contato com o tema.</t>
  </si>
  <si>
    <t>2025/06/16 7:31:34 PM GMT-3</t>
  </si>
  <si>
    <t>2025/06/16 7:34:42 PM GMT-3</t>
  </si>
  <si>
    <t>2025/06/16 7:36:18 PM GMT-3</t>
  </si>
  <si>
    <t>2025/06/16 7:45:00 PM GMT-3</t>
  </si>
  <si>
    <t>2025/06/16 7:45:20 PM GMT-3</t>
  </si>
  <si>
    <t>2025/06/16 7:47:25 PM GMT-3</t>
  </si>
  <si>
    <t>2025/06/16 7:51:56 PM GMT-3</t>
  </si>
  <si>
    <t>2025/06/16 7:52:06 PM GMT-3</t>
  </si>
  <si>
    <t>2025/06/16 8:11:00 PM GMT-3</t>
  </si>
  <si>
    <t>2025/06/30 11:08:51 PM GMT-3</t>
  </si>
  <si>
    <t>2025/06/30 11:20:36 PM GMT-3</t>
  </si>
  <si>
    <t>2025/07/01 9:27:36 AM GMT-3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</si>
</sst>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left" readingOrder="0" vertical="bottom"/>
    </xf>
    <xf borderId="0" fillId="0" fontId="3" numFmtId="0" xfId="0" applyAlignment="1" applyFon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1" numFmtId="10" xfId="0" applyFont="1" applyNumberFormat="1"/>
    <xf borderId="0" fillId="0" fontId="1" numFmtId="164" xfId="0" applyFont="1" applyNumberFormat="1"/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89.0"/>
    <col customWidth="1" min="4" max="22" width="11.5"/>
    <col customWidth="1" min="23" max="26" width="8.63"/>
  </cols>
  <sheetData>
    <row r="1" ht="12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11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26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35</v>
      </c>
    </row>
    <row r="2" ht="12.75" customHeight="1">
      <c r="A2" s="1" t="s">
        <v>37</v>
      </c>
      <c r="B2" s="1" t="s">
        <v>39</v>
      </c>
      <c r="C2" s="1" t="s">
        <v>40</v>
      </c>
      <c r="D2" s="1" t="s">
        <v>42</v>
      </c>
      <c r="E2" s="1" t="s">
        <v>43</v>
      </c>
      <c r="F2" s="1" t="s">
        <v>45</v>
      </c>
      <c r="G2" s="1">
        <v>5.0</v>
      </c>
      <c r="H2" s="1">
        <v>5.0</v>
      </c>
      <c r="I2" s="1">
        <v>5.0</v>
      </c>
      <c r="J2" s="1">
        <v>5.0</v>
      </c>
      <c r="K2" s="1">
        <v>5.0</v>
      </c>
      <c r="L2" s="1">
        <v>5.0</v>
      </c>
      <c r="M2" s="1">
        <v>2.0</v>
      </c>
      <c r="N2" s="1">
        <v>4.0</v>
      </c>
      <c r="O2" s="1">
        <v>1.0</v>
      </c>
      <c r="P2" s="1">
        <v>4.0</v>
      </c>
      <c r="Q2" s="1">
        <v>2.0</v>
      </c>
      <c r="R2" s="1">
        <v>5.0</v>
      </c>
      <c r="S2" s="1">
        <v>1.0</v>
      </c>
      <c r="T2" s="1">
        <v>5.0</v>
      </c>
      <c r="U2" s="1">
        <v>2.0</v>
      </c>
    </row>
    <row r="3" ht="12.75" customHeight="1">
      <c r="A3" s="1" t="s">
        <v>50</v>
      </c>
      <c r="B3" s="1" t="s">
        <v>39</v>
      </c>
      <c r="C3" s="1" t="s">
        <v>51</v>
      </c>
      <c r="D3" s="1" t="s">
        <v>42</v>
      </c>
      <c r="E3" s="1" t="s">
        <v>43</v>
      </c>
      <c r="F3" s="1" t="s">
        <v>53</v>
      </c>
      <c r="G3" s="1">
        <v>5.0</v>
      </c>
      <c r="H3" s="1">
        <v>5.0</v>
      </c>
      <c r="I3" s="1">
        <v>5.0</v>
      </c>
      <c r="J3" s="1">
        <v>5.0</v>
      </c>
      <c r="K3" s="1">
        <v>5.0</v>
      </c>
      <c r="L3" s="1">
        <v>3.0</v>
      </c>
      <c r="M3" s="1">
        <v>1.0</v>
      </c>
      <c r="N3" s="1">
        <v>5.0</v>
      </c>
      <c r="O3" s="1">
        <v>1.0</v>
      </c>
      <c r="P3" s="1">
        <v>5.0</v>
      </c>
      <c r="Q3" s="1">
        <v>1.0</v>
      </c>
      <c r="R3" s="1">
        <v>5.0</v>
      </c>
      <c r="S3" s="1">
        <v>1.0</v>
      </c>
      <c r="T3" s="1">
        <v>5.0</v>
      </c>
      <c r="U3" s="1">
        <v>1.0</v>
      </c>
    </row>
    <row r="4" ht="12.75" customHeight="1">
      <c r="A4" s="1" t="s">
        <v>57</v>
      </c>
      <c r="B4" s="1" t="s">
        <v>39</v>
      </c>
      <c r="C4" s="1" t="s">
        <v>58</v>
      </c>
      <c r="D4" s="1" t="s">
        <v>42</v>
      </c>
      <c r="E4" s="1" t="s">
        <v>43</v>
      </c>
      <c r="F4" s="1" t="s">
        <v>45</v>
      </c>
      <c r="G4" s="1">
        <v>5.0</v>
      </c>
      <c r="H4" s="1">
        <v>3.0</v>
      </c>
      <c r="I4" s="1">
        <v>5.0</v>
      </c>
      <c r="J4" s="1">
        <v>5.0</v>
      </c>
      <c r="K4" s="1">
        <v>5.0</v>
      </c>
      <c r="L4" s="1">
        <v>4.0</v>
      </c>
      <c r="M4" s="1">
        <v>1.0</v>
      </c>
      <c r="N4" s="1">
        <v>4.0</v>
      </c>
      <c r="O4" s="1">
        <v>2.0</v>
      </c>
      <c r="P4" s="1">
        <v>5.0</v>
      </c>
      <c r="Q4" s="1">
        <v>2.0</v>
      </c>
      <c r="R4" s="1">
        <v>5.0</v>
      </c>
      <c r="S4" s="1">
        <v>1.0</v>
      </c>
      <c r="T4" s="1">
        <v>4.0</v>
      </c>
      <c r="U4" s="1">
        <v>1.0</v>
      </c>
      <c r="V4" s="1" t="s">
        <v>63</v>
      </c>
    </row>
    <row r="5" ht="12.75" customHeight="1">
      <c r="A5" s="1" t="s">
        <v>64</v>
      </c>
      <c r="B5" s="1" t="s">
        <v>39</v>
      </c>
      <c r="C5" s="1" t="s">
        <v>58</v>
      </c>
      <c r="D5" s="1" t="s">
        <v>42</v>
      </c>
      <c r="E5" s="1" t="s">
        <v>43</v>
      </c>
      <c r="F5" s="1" t="s">
        <v>53</v>
      </c>
      <c r="G5" s="1">
        <v>5.0</v>
      </c>
      <c r="H5" s="1">
        <v>5.0</v>
      </c>
      <c r="I5" s="1">
        <v>5.0</v>
      </c>
      <c r="J5" s="1">
        <v>4.0</v>
      </c>
      <c r="K5" s="1">
        <v>5.0</v>
      </c>
      <c r="L5" s="1">
        <v>4.0</v>
      </c>
      <c r="M5" s="1">
        <v>1.0</v>
      </c>
      <c r="N5" s="1">
        <v>5.0</v>
      </c>
      <c r="O5" s="1">
        <v>1.0</v>
      </c>
      <c r="P5" s="1">
        <v>5.0</v>
      </c>
      <c r="Q5" s="1">
        <v>1.0</v>
      </c>
      <c r="R5" s="1">
        <v>4.0</v>
      </c>
      <c r="S5" s="1">
        <v>1.0</v>
      </c>
      <c r="T5" s="1">
        <v>4.0</v>
      </c>
      <c r="U5" s="1">
        <v>1.0</v>
      </c>
    </row>
    <row r="6" ht="12.75" customHeight="1">
      <c r="A6" s="1" t="s">
        <v>64</v>
      </c>
      <c r="B6" s="1" t="s">
        <v>39</v>
      </c>
      <c r="C6" s="1" t="s">
        <v>58</v>
      </c>
      <c r="D6" s="1" t="s">
        <v>42</v>
      </c>
      <c r="E6" s="1" t="s">
        <v>43</v>
      </c>
      <c r="F6" s="1" t="s">
        <v>53</v>
      </c>
      <c r="G6" s="1">
        <v>5.0</v>
      </c>
      <c r="H6" s="1">
        <v>3.0</v>
      </c>
      <c r="I6" s="1">
        <v>4.0</v>
      </c>
      <c r="J6" s="1">
        <v>5.0</v>
      </c>
      <c r="K6" s="1">
        <v>3.0</v>
      </c>
      <c r="L6" s="1">
        <v>3.0</v>
      </c>
      <c r="M6" s="1">
        <v>2.0</v>
      </c>
      <c r="N6" s="1">
        <v>4.0</v>
      </c>
      <c r="O6" s="1">
        <v>2.0</v>
      </c>
      <c r="P6" s="1">
        <v>3.0</v>
      </c>
      <c r="Q6" s="1">
        <v>2.0</v>
      </c>
      <c r="R6" s="1">
        <v>4.0</v>
      </c>
      <c r="S6" s="1">
        <v>2.0</v>
      </c>
      <c r="T6" s="1">
        <v>3.0</v>
      </c>
      <c r="U6" s="1">
        <v>3.0</v>
      </c>
    </row>
    <row r="7" ht="12.75" customHeight="1">
      <c r="A7" s="1" t="s">
        <v>69</v>
      </c>
      <c r="B7" s="1" t="s">
        <v>39</v>
      </c>
      <c r="C7" s="1" t="s">
        <v>40</v>
      </c>
      <c r="D7" s="1" t="s">
        <v>42</v>
      </c>
      <c r="E7" s="1" t="s">
        <v>43</v>
      </c>
      <c r="F7" s="1" t="s">
        <v>72</v>
      </c>
      <c r="G7" s="1">
        <v>5.0</v>
      </c>
      <c r="H7" s="1">
        <v>3.0</v>
      </c>
      <c r="I7" s="1">
        <v>5.0</v>
      </c>
      <c r="J7" s="1">
        <v>5.0</v>
      </c>
      <c r="K7" s="1">
        <v>4.0</v>
      </c>
      <c r="L7" s="1">
        <v>2.0</v>
      </c>
      <c r="M7" s="1">
        <v>3.0</v>
      </c>
      <c r="N7" s="1">
        <v>3.0</v>
      </c>
      <c r="O7" s="1">
        <v>1.0</v>
      </c>
      <c r="P7" s="1">
        <v>3.0</v>
      </c>
      <c r="Q7" s="1">
        <v>1.0</v>
      </c>
      <c r="R7" s="1">
        <v>4.0</v>
      </c>
      <c r="S7" s="1">
        <v>2.0</v>
      </c>
      <c r="T7" s="1">
        <v>3.0</v>
      </c>
      <c r="U7" s="1">
        <v>1.0</v>
      </c>
    </row>
    <row r="8" ht="12.75" customHeight="1">
      <c r="A8" s="1" t="s">
        <v>73</v>
      </c>
      <c r="B8" s="1" t="s">
        <v>39</v>
      </c>
      <c r="C8" s="1" t="s">
        <v>40</v>
      </c>
      <c r="D8" s="1" t="s">
        <v>42</v>
      </c>
      <c r="E8" s="1" t="s">
        <v>43</v>
      </c>
      <c r="F8" s="1" t="s">
        <v>45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4.0</v>
      </c>
      <c r="M8" s="1">
        <v>1.0</v>
      </c>
      <c r="N8" s="1">
        <v>5.0</v>
      </c>
      <c r="O8" s="1">
        <v>1.0</v>
      </c>
      <c r="P8" s="1">
        <v>4.0</v>
      </c>
      <c r="Q8" s="1">
        <v>1.0</v>
      </c>
      <c r="R8" s="1">
        <v>5.0</v>
      </c>
      <c r="S8" s="1">
        <v>1.0</v>
      </c>
      <c r="T8" s="1">
        <v>5.0</v>
      </c>
      <c r="U8" s="1">
        <v>1.0</v>
      </c>
    </row>
    <row r="9" ht="12.75" customHeight="1">
      <c r="A9" s="1" t="s">
        <v>76</v>
      </c>
      <c r="B9" s="1" t="s">
        <v>39</v>
      </c>
      <c r="C9" s="1" t="s">
        <v>40</v>
      </c>
      <c r="D9" s="1" t="s">
        <v>42</v>
      </c>
      <c r="E9" s="1" t="s">
        <v>43</v>
      </c>
      <c r="F9" s="1" t="s">
        <v>72</v>
      </c>
      <c r="G9" s="1">
        <v>5.0</v>
      </c>
      <c r="H9" s="1">
        <v>5.0</v>
      </c>
      <c r="I9" s="1">
        <v>5.0</v>
      </c>
      <c r="J9" s="1">
        <v>5.0</v>
      </c>
      <c r="K9" s="1">
        <v>5.0</v>
      </c>
      <c r="L9" s="1">
        <v>5.0</v>
      </c>
      <c r="M9" s="1">
        <v>1.0</v>
      </c>
      <c r="N9" s="1">
        <v>5.0</v>
      </c>
      <c r="O9" s="1">
        <v>1.0</v>
      </c>
      <c r="P9" s="1">
        <v>5.0</v>
      </c>
      <c r="Q9" s="1">
        <v>1.0</v>
      </c>
      <c r="R9" s="1">
        <v>3.0</v>
      </c>
      <c r="S9" s="1">
        <v>2.0</v>
      </c>
      <c r="T9" s="1">
        <v>5.0</v>
      </c>
      <c r="U9" s="1">
        <v>2.0</v>
      </c>
    </row>
    <row r="10" ht="12.75" customHeight="1">
      <c r="A10" s="1" t="s">
        <v>80</v>
      </c>
      <c r="B10" s="1" t="s">
        <v>39</v>
      </c>
      <c r="C10" s="1" t="s">
        <v>58</v>
      </c>
      <c r="D10" s="1" t="s">
        <v>42</v>
      </c>
      <c r="E10" s="1" t="s">
        <v>43</v>
      </c>
      <c r="F10" s="1" t="s">
        <v>81</v>
      </c>
      <c r="G10" s="1">
        <v>5.0</v>
      </c>
      <c r="H10" s="1">
        <v>5.0</v>
      </c>
      <c r="I10" s="1">
        <v>5.0</v>
      </c>
      <c r="J10" s="1">
        <v>4.0</v>
      </c>
      <c r="K10" s="1">
        <v>5.0</v>
      </c>
      <c r="L10" s="1">
        <v>5.0</v>
      </c>
      <c r="M10" s="1">
        <v>3.0</v>
      </c>
      <c r="N10" s="1">
        <v>4.0</v>
      </c>
      <c r="O10" s="1">
        <v>2.0</v>
      </c>
      <c r="P10" s="1">
        <v>3.0</v>
      </c>
      <c r="Q10" s="1">
        <v>1.0</v>
      </c>
      <c r="R10" s="1">
        <v>4.0</v>
      </c>
      <c r="S10" s="1">
        <v>2.0</v>
      </c>
      <c r="T10" s="1">
        <v>5.0</v>
      </c>
      <c r="U10" s="1">
        <v>2.0</v>
      </c>
    </row>
    <row r="11" ht="12.75" customHeight="1">
      <c r="A11" s="1" t="s">
        <v>84</v>
      </c>
      <c r="B11" s="1" t="s">
        <v>39</v>
      </c>
      <c r="C11" s="1" t="s">
        <v>40</v>
      </c>
      <c r="D11" s="1" t="s">
        <v>42</v>
      </c>
      <c r="E11" s="1" t="s">
        <v>43</v>
      </c>
      <c r="F11" s="1" t="s">
        <v>72</v>
      </c>
      <c r="G11" s="1">
        <v>5.0</v>
      </c>
      <c r="H11" s="1">
        <v>5.0</v>
      </c>
      <c r="I11" s="1">
        <v>5.0</v>
      </c>
      <c r="J11" s="1">
        <v>5.0</v>
      </c>
      <c r="K11" s="1">
        <v>4.0</v>
      </c>
      <c r="L11" s="1">
        <v>3.0</v>
      </c>
      <c r="M11" s="1">
        <v>3.0</v>
      </c>
      <c r="N11" s="1">
        <v>3.0</v>
      </c>
      <c r="O11" s="1">
        <v>3.0</v>
      </c>
      <c r="P11" s="1">
        <v>4.0</v>
      </c>
      <c r="Q11" s="1">
        <v>2.0</v>
      </c>
      <c r="R11" s="1">
        <v>3.0</v>
      </c>
      <c r="S11" s="1">
        <v>3.0</v>
      </c>
      <c r="T11" s="1">
        <v>3.0</v>
      </c>
      <c r="U11" s="1">
        <v>1.0</v>
      </c>
    </row>
    <row r="12" ht="12.75" customHeight="1">
      <c r="A12" s="1" t="s">
        <v>88</v>
      </c>
      <c r="B12" s="1" t="s">
        <v>39</v>
      </c>
      <c r="C12" s="1" t="s">
        <v>40</v>
      </c>
      <c r="D12" s="1" t="s">
        <v>42</v>
      </c>
      <c r="E12" s="1" t="s">
        <v>43</v>
      </c>
      <c r="F12" s="1" t="s">
        <v>53</v>
      </c>
      <c r="G12" s="1">
        <v>5.0</v>
      </c>
      <c r="H12" s="1">
        <v>5.0</v>
      </c>
      <c r="I12" s="1">
        <v>5.0</v>
      </c>
      <c r="J12" s="1">
        <v>5.0</v>
      </c>
      <c r="K12" s="1">
        <v>5.0</v>
      </c>
      <c r="L12" s="1">
        <v>4.0</v>
      </c>
      <c r="M12" s="1">
        <v>2.0</v>
      </c>
      <c r="N12" s="1">
        <v>4.0</v>
      </c>
      <c r="O12" s="1">
        <v>4.0</v>
      </c>
      <c r="P12" s="1">
        <v>4.0</v>
      </c>
      <c r="Q12" s="1">
        <v>1.0</v>
      </c>
      <c r="R12" s="1">
        <v>4.0</v>
      </c>
      <c r="S12" s="1">
        <v>2.0</v>
      </c>
      <c r="T12" s="1">
        <v>4.0</v>
      </c>
      <c r="U12" s="1">
        <v>3.0</v>
      </c>
    </row>
    <row r="13" ht="12.75" customHeight="1">
      <c r="A13" s="1" t="s">
        <v>92</v>
      </c>
      <c r="B13" s="1" t="s">
        <v>39</v>
      </c>
      <c r="C13" s="1" t="s">
        <v>40</v>
      </c>
      <c r="D13" s="1" t="s">
        <v>42</v>
      </c>
      <c r="E13" s="1" t="s">
        <v>43</v>
      </c>
      <c r="F13" s="1" t="s">
        <v>45</v>
      </c>
      <c r="G13" s="1">
        <v>5.0</v>
      </c>
      <c r="H13" s="1">
        <v>4.0</v>
      </c>
      <c r="I13" s="1">
        <v>5.0</v>
      </c>
      <c r="J13" s="1">
        <v>5.0</v>
      </c>
      <c r="K13" s="1">
        <v>5.0</v>
      </c>
      <c r="L13" s="1">
        <v>4.0</v>
      </c>
      <c r="M13" s="1">
        <v>3.0</v>
      </c>
      <c r="N13" s="1">
        <v>3.0</v>
      </c>
      <c r="O13" s="1">
        <v>4.0</v>
      </c>
      <c r="P13" s="1">
        <v>4.0</v>
      </c>
      <c r="Q13" s="1">
        <v>2.0</v>
      </c>
      <c r="R13" s="1">
        <v>2.0</v>
      </c>
      <c r="S13" s="1">
        <v>2.0</v>
      </c>
      <c r="T13" s="1">
        <v>4.0</v>
      </c>
      <c r="U13" s="1">
        <v>4.0</v>
      </c>
    </row>
    <row r="14" ht="12.75" customHeight="1">
      <c r="A14" s="1" t="s">
        <v>95</v>
      </c>
      <c r="B14" s="1" t="s">
        <v>39</v>
      </c>
      <c r="C14" s="1" t="s">
        <v>40</v>
      </c>
      <c r="D14" s="1" t="s">
        <v>42</v>
      </c>
      <c r="E14" s="1" t="s">
        <v>43</v>
      </c>
      <c r="F14" s="1" t="s">
        <v>53</v>
      </c>
      <c r="G14" s="1">
        <v>4.0</v>
      </c>
      <c r="H14" s="1">
        <v>3.0</v>
      </c>
      <c r="I14" s="1">
        <v>5.0</v>
      </c>
      <c r="J14" s="1">
        <v>5.0</v>
      </c>
      <c r="K14" s="1">
        <v>4.0</v>
      </c>
      <c r="L14" s="1">
        <v>3.0</v>
      </c>
      <c r="M14" s="1">
        <v>3.0</v>
      </c>
      <c r="N14" s="1">
        <v>3.0</v>
      </c>
      <c r="O14" s="1">
        <v>2.0</v>
      </c>
      <c r="P14" s="1">
        <v>4.0</v>
      </c>
      <c r="Q14" s="1">
        <v>2.0</v>
      </c>
      <c r="R14" s="1">
        <v>4.0</v>
      </c>
      <c r="S14" s="1">
        <v>2.0</v>
      </c>
      <c r="T14" s="1">
        <v>4.0</v>
      </c>
      <c r="U14" s="1">
        <v>3.0</v>
      </c>
    </row>
    <row r="15" ht="12.75" customHeight="1">
      <c r="A15" s="1" t="s">
        <v>96</v>
      </c>
      <c r="B15" s="1" t="s">
        <v>39</v>
      </c>
      <c r="C15" s="1" t="s">
        <v>58</v>
      </c>
      <c r="D15" s="1" t="s">
        <v>42</v>
      </c>
      <c r="E15" s="1" t="s">
        <v>43</v>
      </c>
      <c r="F15" s="1" t="s">
        <v>53</v>
      </c>
      <c r="G15" s="1">
        <v>5.0</v>
      </c>
      <c r="H15" s="1">
        <v>3.0</v>
      </c>
      <c r="I15" s="1">
        <v>5.0</v>
      </c>
      <c r="J15" s="1">
        <v>5.0</v>
      </c>
      <c r="K15" s="1">
        <v>3.0</v>
      </c>
      <c r="L15" s="1">
        <v>5.0</v>
      </c>
      <c r="M15" s="1">
        <v>3.0</v>
      </c>
      <c r="N15" s="1">
        <v>2.0</v>
      </c>
      <c r="O15" s="1">
        <v>4.0</v>
      </c>
      <c r="P15" s="1">
        <v>4.0</v>
      </c>
      <c r="Q15" s="1">
        <v>4.0</v>
      </c>
      <c r="R15" s="1">
        <v>5.0</v>
      </c>
      <c r="S15" s="1">
        <v>2.0</v>
      </c>
      <c r="T15" s="1">
        <v>4.0</v>
      </c>
      <c r="U15" s="1">
        <v>5.0</v>
      </c>
      <c r="V15" s="1" t="s">
        <v>97</v>
      </c>
    </row>
    <row r="16" ht="12.75" customHeight="1">
      <c r="A16" s="1" t="s">
        <v>98</v>
      </c>
      <c r="B16" s="1" t="s">
        <v>39</v>
      </c>
      <c r="C16" s="1" t="s">
        <v>40</v>
      </c>
      <c r="D16" s="1" t="s">
        <v>42</v>
      </c>
      <c r="E16" s="1" t="s">
        <v>43</v>
      </c>
      <c r="F16" s="1" t="s">
        <v>45</v>
      </c>
      <c r="G16" s="1">
        <v>5.0</v>
      </c>
      <c r="H16" s="1">
        <v>4.0</v>
      </c>
      <c r="I16" s="1">
        <v>5.0</v>
      </c>
      <c r="J16" s="1">
        <v>4.0</v>
      </c>
      <c r="K16" s="1">
        <v>4.0</v>
      </c>
      <c r="L16" s="1">
        <v>3.0</v>
      </c>
      <c r="M16" s="1">
        <v>3.0</v>
      </c>
      <c r="N16" s="1">
        <v>3.0</v>
      </c>
      <c r="O16" s="1">
        <v>1.0</v>
      </c>
      <c r="P16" s="1">
        <v>3.0</v>
      </c>
      <c r="Q16" s="1">
        <v>3.0</v>
      </c>
      <c r="R16" s="1">
        <v>2.0</v>
      </c>
      <c r="S16" s="1">
        <v>3.0</v>
      </c>
      <c r="T16" s="1">
        <v>3.0</v>
      </c>
      <c r="U16" s="1">
        <v>4.0</v>
      </c>
    </row>
    <row r="17" ht="12.75" customHeight="1">
      <c r="A17" s="1" t="s">
        <v>99</v>
      </c>
      <c r="B17" s="1" t="s">
        <v>39</v>
      </c>
      <c r="C17" s="1" t="s">
        <v>40</v>
      </c>
      <c r="D17" s="1" t="s">
        <v>42</v>
      </c>
      <c r="E17" s="1" t="s">
        <v>43</v>
      </c>
      <c r="F17" s="1" t="s">
        <v>45</v>
      </c>
      <c r="G17" s="1">
        <v>5.0</v>
      </c>
      <c r="H17" s="1">
        <v>4.0</v>
      </c>
      <c r="I17" s="1">
        <v>4.0</v>
      </c>
      <c r="J17" s="1">
        <v>4.0</v>
      </c>
      <c r="K17" s="1">
        <v>5.0</v>
      </c>
      <c r="L17" s="1">
        <v>4.0</v>
      </c>
      <c r="M17" s="1">
        <v>3.0</v>
      </c>
      <c r="N17" s="1">
        <v>4.0</v>
      </c>
      <c r="O17" s="1">
        <v>1.0</v>
      </c>
      <c r="P17" s="1">
        <v>4.0</v>
      </c>
      <c r="Q17" s="1">
        <v>1.0</v>
      </c>
      <c r="R17" s="1">
        <v>4.0</v>
      </c>
      <c r="S17" s="1">
        <v>1.0</v>
      </c>
      <c r="T17" s="1">
        <v>4.0</v>
      </c>
      <c r="U17" s="1">
        <v>2.0</v>
      </c>
    </row>
    <row r="18" ht="12.75" customHeight="1">
      <c r="A18" s="1" t="s">
        <v>100</v>
      </c>
      <c r="B18" s="1" t="s">
        <v>39</v>
      </c>
      <c r="C18" s="1" t="s">
        <v>40</v>
      </c>
      <c r="D18" s="1" t="s">
        <v>42</v>
      </c>
      <c r="E18" s="1" t="s">
        <v>43</v>
      </c>
      <c r="F18" s="1" t="s">
        <v>53</v>
      </c>
      <c r="G18" s="1">
        <v>5.0</v>
      </c>
      <c r="H18" s="1">
        <v>5.0</v>
      </c>
      <c r="I18" s="1">
        <v>5.0</v>
      </c>
      <c r="J18" s="1">
        <v>5.0</v>
      </c>
      <c r="K18" s="1">
        <v>4.0</v>
      </c>
      <c r="L18" s="1">
        <v>4.0</v>
      </c>
      <c r="M18" s="1">
        <v>1.0</v>
      </c>
      <c r="N18" s="1">
        <v>5.0</v>
      </c>
      <c r="O18" s="1">
        <v>1.0</v>
      </c>
      <c r="P18" s="1">
        <v>3.0</v>
      </c>
      <c r="Q18" s="1">
        <v>1.0</v>
      </c>
      <c r="R18" s="1">
        <v>4.0</v>
      </c>
      <c r="S18" s="1">
        <v>1.0</v>
      </c>
      <c r="T18" s="1">
        <v>4.0</v>
      </c>
      <c r="U18" s="1">
        <v>1.0</v>
      </c>
      <c r="V18" s="1" t="s">
        <v>101</v>
      </c>
    </row>
    <row r="19" ht="12.75" customHeight="1">
      <c r="A19" s="1" t="s">
        <v>102</v>
      </c>
      <c r="B19" s="1" t="s">
        <v>39</v>
      </c>
      <c r="C19" s="1" t="s">
        <v>40</v>
      </c>
      <c r="D19" s="1" t="s">
        <v>103</v>
      </c>
      <c r="E19" s="1" t="s">
        <v>104</v>
      </c>
      <c r="F19" s="1" t="s">
        <v>81</v>
      </c>
      <c r="G19" s="1">
        <v>5.0</v>
      </c>
      <c r="H19" s="1">
        <v>5.0</v>
      </c>
      <c r="I19" s="1">
        <v>5.0</v>
      </c>
      <c r="J19" s="1">
        <v>4.0</v>
      </c>
      <c r="K19" s="1">
        <v>5.0</v>
      </c>
      <c r="L19" s="1">
        <v>5.0</v>
      </c>
      <c r="M19" s="1">
        <v>3.0</v>
      </c>
      <c r="N19" s="1">
        <v>3.0</v>
      </c>
      <c r="O19" s="1">
        <v>4.0</v>
      </c>
      <c r="P19" s="1">
        <v>3.0</v>
      </c>
      <c r="Q19" s="1">
        <v>1.0</v>
      </c>
      <c r="R19" s="1">
        <v>3.0</v>
      </c>
      <c r="S19" s="1">
        <v>4.0</v>
      </c>
      <c r="T19" s="1">
        <v>4.0</v>
      </c>
      <c r="U19" s="1">
        <v>4.0</v>
      </c>
    </row>
    <row r="20" ht="12.75" customHeight="1">
      <c r="A20" s="1" t="s">
        <v>105</v>
      </c>
      <c r="B20" s="1" t="s">
        <v>39</v>
      </c>
      <c r="C20" s="1" t="s">
        <v>40</v>
      </c>
      <c r="D20" s="1" t="s">
        <v>42</v>
      </c>
      <c r="E20" s="1" t="s">
        <v>43</v>
      </c>
      <c r="F20" s="1" t="s">
        <v>45</v>
      </c>
      <c r="G20" s="1">
        <v>5.0</v>
      </c>
      <c r="H20" s="1">
        <v>5.0</v>
      </c>
      <c r="I20" s="1">
        <v>5.0</v>
      </c>
      <c r="J20" s="1">
        <v>5.0</v>
      </c>
      <c r="K20" s="1">
        <v>5.0</v>
      </c>
      <c r="L20" s="1">
        <v>4.0</v>
      </c>
      <c r="M20" s="1">
        <v>2.0</v>
      </c>
      <c r="N20" s="1">
        <v>4.0</v>
      </c>
      <c r="O20" s="1">
        <v>2.0</v>
      </c>
      <c r="P20" s="1">
        <v>3.0</v>
      </c>
      <c r="Q20" s="1">
        <v>1.0</v>
      </c>
      <c r="R20" s="1">
        <v>4.0</v>
      </c>
      <c r="S20" s="1">
        <v>1.0</v>
      </c>
      <c r="T20" s="1">
        <v>5.0</v>
      </c>
      <c r="U20" s="1">
        <v>1.0</v>
      </c>
    </row>
    <row r="21" ht="12.75" customHeight="1">
      <c r="A21" s="1" t="s">
        <v>106</v>
      </c>
      <c r="B21" s="1" t="s">
        <v>39</v>
      </c>
      <c r="C21" s="1" t="s">
        <v>107</v>
      </c>
      <c r="D21" s="1" t="s">
        <v>42</v>
      </c>
      <c r="E21" s="1" t="s">
        <v>43</v>
      </c>
      <c r="F21" s="1" t="s">
        <v>87</v>
      </c>
      <c r="G21" s="1">
        <v>4.0</v>
      </c>
      <c r="H21" s="1">
        <v>4.0</v>
      </c>
      <c r="I21" s="1">
        <v>5.0</v>
      </c>
      <c r="J21" s="1">
        <v>4.0</v>
      </c>
      <c r="K21" s="1">
        <v>2.0</v>
      </c>
      <c r="L21" s="1">
        <v>3.0</v>
      </c>
      <c r="M21" s="1">
        <v>3.0</v>
      </c>
      <c r="N21" s="1">
        <v>3.0</v>
      </c>
      <c r="O21" s="1">
        <v>2.0</v>
      </c>
      <c r="P21" s="1">
        <v>4.0</v>
      </c>
      <c r="Q21" s="1">
        <v>1.0</v>
      </c>
      <c r="R21" s="1">
        <v>4.0</v>
      </c>
      <c r="S21" s="1">
        <v>3.0</v>
      </c>
      <c r="T21" s="1">
        <v>4.0</v>
      </c>
      <c r="U21" s="1">
        <v>1.0</v>
      </c>
    </row>
    <row r="22" ht="12.75" customHeight="1">
      <c r="A22" s="1" t="s">
        <v>108</v>
      </c>
      <c r="B22" s="1" t="s">
        <v>39</v>
      </c>
      <c r="C22" s="1" t="s">
        <v>40</v>
      </c>
      <c r="D22" s="1" t="s">
        <v>42</v>
      </c>
      <c r="E22" s="1" t="s">
        <v>43</v>
      </c>
      <c r="F22" s="1" t="s">
        <v>53</v>
      </c>
      <c r="G22" s="1">
        <v>4.0</v>
      </c>
      <c r="H22" s="1">
        <v>2.0</v>
      </c>
      <c r="I22" s="1">
        <v>3.0</v>
      </c>
      <c r="J22" s="1">
        <v>3.0</v>
      </c>
      <c r="K22" s="1">
        <v>4.0</v>
      </c>
      <c r="L22" s="1">
        <v>3.0</v>
      </c>
      <c r="M22" s="1">
        <v>3.0</v>
      </c>
      <c r="N22" s="1">
        <v>2.0</v>
      </c>
      <c r="O22" s="1">
        <v>2.0</v>
      </c>
      <c r="P22" s="1">
        <v>3.0</v>
      </c>
      <c r="Q22" s="1">
        <v>3.0</v>
      </c>
      <c r="R22" s="1">
        <v>4.0</v>
      </c>
      <c r="S22" s="1">
        <v>2.0</v>
      </c>
      <c r="T22" s="1">
        <v>2.0</v>
      </c>
      <c r="U22" s="1">
        <v>2.0</v>
      </c>
    </row>
    <row r="23" ht="12.75" customHeight="1">
      <c r="A23" s="1" t="s">
        <v>109</v>
      </c>
      <c r="B23" s="1" t="s">
        <v>39</v>
      </c>
      <c r="C23" s="1" t="s">
        <v>40</v>
      </c>
      <c r="D23" s="1" t="s">
        <v>42</v>
      </c>
      <c r="E23" s="1" t="s">
        <v>43</v>
      </c>
      <c r="F23" s="1" t="s">
        <v>87</v>
      </c>
      <c r="G23" s="1">
        <v>5.0</v>
      </c>
      <c r="H23" s="1">
        <v>3.0</v>
      </c>
      <c r="I23" s="1">
        <v>4.0</v>
      </c>
      <c r="J23" s="1">
        <v>5.0</v>
      </c>
      <c r="K23" s="1">
        <v>4.0</v>
      </c>
      <c r="L23" s="1">
        <v>3.0</v>
      </c>
      <c r="M23" s="1">
        <v>2.0</v>
      </c>
      <c r="N23" s="1">
        <v>4.0</v>
      </c>
      <c r="O23" s="1">
        <v>1.0</v>
      </c>
      <c r="P23" s="1">
        <v>3.0</v>
      </c>
      <c r="Q23" s="1">
        <v>1.0</v>
      </c>
      <c r="R23" s="1">
        <v>5.0</v>
      </c>
      <c r="S23" s="1">
        <v>1.0</v>
      </c>
      <c r="T23" s="1">
        <v>3.0</v>
      </c>
      <c r="U23" s="1">
        <v>2.0</v>
      </c>
    </row>
    <row r="24" ht="12.75" customHeight="1">
      <c r="A24" s="1" t="s">
        <v>110</v>
      </c>
      <c r="B24" s="1" t="s">
        <v>39</v>
      </c>
      <c r="C24" s="1" t="s">
        <v>40</v>
      </c>
      <c r="D24" s="1" t="s">
        <v>42</v>
      </c>
      <c r="E24" s="1" t="s">
        <v>43</v>
      </c>
      <c r="F24" s="1" t="s">
        <v>93</v>
      </c>
      <c r="G24" s="1">
        <v>3.0</v>
      </c>
      <c r="H24" s="1">
        <v>3.0</v>
      </c>
      <c r="I24" s="1">
        <v>5.0</v>
      </c>
      <c r="J24" s="1">
        <v>4.0</v>
      </c>
      <c r="K24" s="1">
        <v>2.0</v>
      </c>
      <c r="L24" s="1">
        <v>3.0</v>
      </c>
      <c r="M24" s="1">
        <v>4.0</v>
      </c>
      <c r="N24" s="1">
        <v>2.0</v>
      </c>
      <c r="O24" s="1">
        <v>4.0</v>
      </c>
      <c r="P24" s="1">
        <v>3.0</v>
      </c>
      <c r="Q24" s="1">
        <v>2.0</v>
      </c>
      <c r="R24" s="1">
        <v>2.0</v>
      </c>
      <c r="S24" s="1">
        <v>3.0</v>
      </c>
      <c r="T24" s="1">
        <v>2.0</v>
      </c>
      <c r="U24" s="1">
        <v>3.0</v>
      </c>
    </row>
    <row r="25" ht="12.75" customHeight="1">
      <c r="A25" s="1" t="s">
        <v>111</v>
      </c>
      <c r="B25" s="1" t="s">
        <v>39</v>
      </c>
      <c r="C25" s="1" t="s">
        <v>40</v>
      </c>
      <c r="D25" s="1" t="s">
        <v>42</v>
      </c>
      <c r="E25" s="1" t="s">
        <v>43</v>
      </c>
      <c r="F25" s="1" t="s">
        <v>53</v>
      </c>
      <c r="G25" s="1">
        <v>5.0</v>
      </c>
      <c r="H25" s="1">
        <v>4.0</v>
      </c>
      <c r="I25" s="1">
        <v>4.0</v>
      </c>
      <c r="J25" s="1">
        <v>5.0</v>
      </c>
      <c r="K25" s="1">
        <v>4.0</v>
      </c>
      <c r="L25" s="1">
        <v>3.0</v>
      </c>
      <c r="M25" s="1">
        <v>2.0</v>
      </c>
      <c r="N25" s="1">
        <v>5.0</v>
      </c>
      <c r="O25" s="1">
        <v>1.0</v>
      </c>
      <c r="P25" s="1">
        <v>3.0</v>
      </c>
      <c r="Q25" s="1">
        <v>1.0</v>
      </c>
      <c r="R25" s="1">
        <v>4.0</v>
      </c>
      <c r="S25" s="1">
        <v>1.0</v>
      </c>
      <c r="T25" s="1">
        <v>4.0</v>
      </c>
      <c r="U25" s="1">
        <v>1.0</v>
      </c>
    </row>
    <row r="26" ht="12.75" customHeight="1">
      <c r="A26" s="1" t="s">
        <v>112</v>
      </c>
      <c r="B26" s="1" t="s">
        <v>39</v>
      </c>
      <c r="C26" s="1" t="s">
        <v>107</v>
      </c>
      <c r="D26" s="1" t="s">
        <v>42</v>
      </c>
      <c r="E26" s="1" t="s">
        <v>43</v>
      </c>
      <c r="F26" s="1" t="s">
        <v>87</v>
      </c>
      <c r="G26" s="1">
        <v>5.0</v>
      </c>
      <c r="H26" s="1">
        <v>5.0</v>
      </c>
      <c r="I26" s="1">
        <v>5.0</v>
      </c>
      <c r="J26" s="1">
        <v>5.0</v>
      </c>
      <c r="K26" s="1">
        <v>5.0</v>
      </c>
      <c r="L26" s="1">
        <v>4.0</v>
      </c>
      <c r="M26" s="1">
        <v>2.0</v>
      </c>
      <c r="N26" s="1">
        <v>4.0</v>
      </c>
      <c r="O26" s="1">
        <v>1.0</v>
      </c>
      <c r="P26" s="1">
        <v>5.0</v>
      </c>
      <c r="Q26" s="1">
        <v>1.0</v>
      </c>
      <c r="R26" s="1">
        <v>5.0</v>
      </c>
      <c r="S26" s="1">
        <v>1.0</v>
      </c>
      <c r="T26" s="1">
        <v>3.0</v>
      </c>
      <c r="U26" s="1">
        <v>2.0</v>
      </c>
    </row>
    <row r="27" ht="12.75" customHeight="1">
      <c r="A27" s="1" t="s">
        <v>113</v>
      </c>
      <c r="B27" s="1" t="s">
        <v>39</v>
      </c>
      <c r="C27" s="1" t="s">
        <v>40</v>
      </c>
      <c r="D27" s="1" t="s">
        <v>42</v>
      </c>
      <c r="E27" s="1" t="s">
        <v>43</v>
      </c>
      <c r="F27" s="1" t="s">
        <v>72</v>
      </c>
      <c r="G27" s="1">
        <v>5.0</v>
      </c>
      <c r="H27" s="1">
        <v>4.0</v>
      </c>
      <c r="I27" s="1">
        <v>5.0</v>
      </c>
      <c r="J27" s="1">
        <v>4.0</v>
      </c>
      <c r="K27" s="1">
        <v>4.0</v>
      </c>
      <c r="L27" s="1">
        <v>3.0</v>
      </c>
      <c r="M27" s="1">
        <v>1.0</v>
      </c>
      <c r="N27" s="1">
        <v>5.0</v>
      </c>
      <c r="O27" s="1">
        <v>1.0</v>
      </c>
      <c r="P27" s="1">
        <v>5.0</v>
      </c>
      <c r="Q27" s="1">
        <v>1.0</v>
      </c>
      <c r="R27" s="1">
        <v>4.0</v>
      </c>
      <c r="S27" s="1">
        <v>1.0</v>
      </c>
      <c r="T27" s="1">
        <v>3.0</v>
      </c>
      <c r="U27" s="1">
        <v>2.0</v>
      </c>
    </row>
    <row r="28" ht="12.75" customHeight="1">
      <c r="A28" s="1" t="s">
        <v>114</v>
      </c>
      <c r="B28" s="1" t="s">
        <v>39</v>
      </c>
      <c r="C28" s="1" t="s">
        <v>40</v>
      </c>
      <c r="D28" s="1" t="s">
        <v>42</v>
      </c>
      <c r="E28" s="1" t="s">
        <v>43</v>
      </c>
      <c r="F28" s="1" t="s">
        <v>72</v>
      </c>
      <c r="G28" s="1">
        <v>4.0</v>
      </c>
      <c r="H28" s="1">
        <v>3.0</v>
      </c>
      <c r="I28" s="1">
        <v>5.0</v>
      </c>
      <c r="J28" s="1">
        <v>5.0</v>
      </c>
      <c r="K28" s="1">
        <v>4.0</v>
      </c>
      <c r="L28" s="1">
        <v>4.0</v>
      </c>
      <c r="M28" s="1">
        <v>2.0</v>
      </c>
      <c r="N28" s="1">
        <v>4.0</v>
      </c>
      <c r="O28" s="1">
        <v>3.0</v>
      </c>
      <c r="P28" s="1">
        <v>3.0</v>
      </c>
      <c r="Q28" s="1">
        <v>2.0</v>
      </c>
      <c r="R28" s="1">
        <v>4.0</v>
      </c>
      <c r="S28" s="1">
        <v>2.0</v>
      </c>
      <c r="T28" s="1">
        <v>4.0</v>
      </c>
      <c r="U28" s="1">
        <v>1.0</v>
      </c>
    </row>
    <row r="29" ht="12.75" customHeight="1">
      <c r="A29" s="1" t="s">
        <v>115</v>
      </c>
      <c r="B29" s="1" t="s">
        <v>39</v>
      </c>
      <c r="C29" s="1" t="s">
        <v>107</v>
      </c>
      <c r="D29" s="1" t="s">
        <v>42</v>
      </c>
      <c r="E29" s="1" t="s">
        <v>43</v>
      </c>
      <c r="F29" s="1" t="s">
        <v>72</v>
      </c>
      <c r="G29" s="1">
        <v>4.0</v>
      </c>
      <c r="H29" s="1">
        <v>2.0</v>
      </c>
      <c r="I29" s="1">
        <v>4.0</v>
      </c>
      <c r="J29" s="1">
        <v>4.0</v>
      </c>
      <c r="K29" s="1">
        <v>3.0</v>
      </c>
      <c r="L29" s="1">
        <v>3.0</v>
      </c>
      <c r="M29" s="1">
        <v>4.0</v>
      </c>
      <c r="N29" s="1">
        <v>3.0</v>
      </c>
      <c r="O29" s="1">
        <v>4.0</v>
      </c>
      <c r="P29" s="1">
        <v>4.0</v>
      </c>
      <c r="Q29" s="1">
        <v>3.0</v>
      </c>
      <c r="R29" s="1">
        <v>3.0</v>
      </c>
      <c r="S29" s="1">
        <v>5.0</v>
      </c>
      <c r="T29" s="1">
        <v>2.0</v>
      </c>
      <c r="U29" s="1">
        <v>4.0</v>
      </c>
    </row>
    <row r="30" ht="12.75" customHeight="1">
      <c r="A30" s="1" t="s">
        <v>116</v>
      </c>
      <c r="B30" s="1" t="s">
        <v>39</v>
      </c>
      <c r="C30" s="1" t="s">
        <v>40</v>
      </c>
      <c r="D30" s="1" t="s">
        <v>42</v>
      </c>
      <c r="E30" s="1" t="s">
        <v>43</v>
      </c>
      <c r="F30" s="1" t="s">
        <v>72</v>
      </c>
      <c r="G30" s="1">
        <v>5.0</v>
      </c>
      <c r="H30" s="1">
        <v>5.0</v>
      </c>
      <c r="I30" s="1">
        <v>5.0</v>
      </c>
      <c r="J30" s="1">
        <v>5.0</v>
      </c>
      <c r="K30" s="1">
        <v>5.0</v>
      </c>
      <c r="L30" s="1">
        <v>4.0</v>
      </c>
      <c r="M30" s="1">
        <v>2.0</v>
      </c>
      <c r="N30" s="1">
        <v>4.0</v>
      </c>
      <c r="O30" s="1">
        <v>3.0</v>
      </c>
      <c r="P30" s="1">
        <v>5.0</v>
      </c>
      <c r="Q30" s="1">
        <v>1.0</v>
      </c>
      <c r="R30" s="1">
        <v>4.0</v>
      </c>
      <c r="S30" s="1">
        <v>3.0</v>
      </c>
      <c r="T30" s="1">
        <v>3.0</v>
      </c>
      <c r="U30" s="1">
        <v>2.0</v>
      </c>
    </row>
    <row r="31" ht="12.75" customHeight="1">
      <c r="A31" s="1" t="s">
        <v>117</v>
      </c>
      <c r="B31" s="1" t="s">
        <v>39</v>
      </c>
      <c r="C31" s="1" t="s">
        <v>40</v>
      </c>
      <c r="D31" s="1" t="s">
        <v>42</v>
      </c>
      <c r="E31" s="1" t="s">
        <v>43</v>
      </c>
      <c r="F31" s="1" t="s">
        <v>72</v>
      </c>
      <c r="G31" s="1">
        <v>5.0</v>
      </c>
      <c r="H31" s="1">
        <v>5.0</v>
      </c>
      <c r="I31" s="1">
        <v>5.0</v>
      </c>
      <c r="J31" s="1">
        <v>5.0</v>
      </c>
      <c r="K31" s="1">
        <v>5.0</v>
      </c>
      <c r="L31" s="1">
        <v>3.0</v>
      </c>
      <c r="M31" s="1">
        <v>2.0</v>
      </c>
      <c r="N31" s="1">
        <v>5.0</v>
      </c>
      <c r="O31" s="1">
        <v>4.0</v>
      </c>
      <c r="P31" s="1">
        <v>5.0</v>
      </c>
      <c r="Q31" s="1">
        <v>2.0</v>
      </c>
      <c r="R31" s="1">
        <v>5.0</v>
      </c>
      <c r="S31" s="1">
        <v>5.0</v>
      </c>
      <c r="T31" s="1">
        <v>5.0</v>
      </c>
      <c r="U31" s="1">
        <v>5.0</v>
      </c>
    </row>
    <row r="32" ht="12.75" customHeight="1">
      <c r="A32" s="1" t="s">
        <v>118</v>
      </c>
      <c r="B32" s="1" t="s">
        <v>39</v>
      </c>
      <c r="C32" s="1" t="s">
        <v>51</v>
      </c>
      <c r="D32" s="1" t="s">
        <v>42</v>
      </c>
      <c r="E32" s="1" t="s">
        <v>43</v>
      </c>
      <c r="F32" s="1" t="s">
        <v>72</v>
      </c>
      <c r="G32" s="1">
        <v>5.0</v>
      </c>
      <c r="H32" s="1">
        <v>5.0</v>
      </c>
      <c r="I32" s="1">
        <v>5.0</v>
      </c>
      <c r="J32" s="1">
        <v>5.0</v>
      </c>
      <c r="K32" s="1">
        <v>5.0</v>
      </c>
      <c r="L32" s="1">
        <v>4.0</v>
      </c>
      <c r="M32" s="1">
        <v>1.0</v>
      </c>
      <c r="N32" s="1">
        <v>5.0</v>
      </c>
      <c r="O32" s="1">
        <v>1.0</v>
      </c>
      <c r="P32" s="1">
        <v>5.0</v>
      </c>
      <c r="Q32" s="1">
        <v>1.0</v>
      </c>
      <c r="R32" s="1">
        <v>5.0</v>
      </c>
      <c r="S32" s="1">
        <v>1.0</v>
      </c>
      <c r="T32" s="1">
        <v>5.0</v>
      </c>
      <c r="U32" s="1">
        <v>2.0</v>
      </c>
    </row>
    <row r="33" ht="12.75" customHeight="1">
      <c r="A33" s="1" t="s">
        <v>119</v>
      </c>
      <c r="B33" s="1" t="s">
        <v>39</v>
      </c>
      <c r="C33" s="1" t="s">
        <v>58</v>
      </c>
      <c r="D33" s="1" t="s">
        <v>42</v>
      </c>
      <c r="E33" s="1" t="s">
        <v>43</v>
      </c>
      <c r="F33" s="1" t="s">
        <v>53</v>
      </c>
      <c r="G33" s="1">
        <v>4.0</v>
      </c>
      <c r="H33" s="1">
        <v>5.0</v>
      </c>
      <c r="I33" s="1">
        <v>5.0</v>
      </c>
      <c r="J33" s="1">
        <v>5.0</v>
      </c>
      <c r="K33" s="1">
        <v>4.0</v>
      </c>
      <c r="L33" s="1">
        <v>3.0</v>
      </c>
      <c r="M33" s="1">
        <v>1.0</v>
      </c>
      <c r="N33" s="1">
        <v>4.0</v>
      </c>
      <c r="O33" s="1">
        <v>3.0</v>
      </c>
      <c r="P33" s="1">
        <v>3.0</v>
      </c>
      <c r="Q33" s="1">
        <v>2.0</v>
      </c>
      <c r="R33" s="1">
        <v>4.0</v>
      </c>
      <c r="S33" s="1">
        <v>2.0</v>
      </c>
      <c r="T33" s="1">
        <v>3.0</v>
      </c>
      <c r="U33" s="1">
        <v>2.0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38"/>
    <col customWidth="1" min="2" max="2" width="42.63"/>
    <col customWidth="1" min="3" max="3" width="36.38"/>
    <col customWidth="1" min="4" max="4" width="45.63"/>
    <col customWidth="1" min="5" max="5" width="42.0"/>
    <col customWidth="1" min="6" max="7" width="46.0"/>
    <col customWidth="1" min="8" max="8" width="33.5"/>
    <col customWidth="1" min="9" max="9" width="34.5"/>
    <col customWidth="1" min="10" max="10" width="46.25"/>
    <col customWidth="1" min="11" max="11" width="14.25"/>
    <col customWidth="1" min="12" max="26" width="8.63"/>
  </cols>
  <sheetData>
    <row r="1" ht="12.75" customHeight="1">
      <c r="A1" s="3" t="s">
        <v>2</v>
      </c>
      <c r="B1" s="3" t="s">
        <v>9</v>
      </c>
      <c r="C1" s="3" t="s">
        <v>12</v>
      </c>
      <c r="D1" s="3" t="s">
        <v>16</v>
      </c>
      <c r="E1" s="3" t="s">
        <v>18</v>
      </c>
      <c r="F1" s="7" t="s">
        <v>27</v>
      </c>
      <c r="G1" s="3" t="s">
        <v>34</v>
      </c>
      <c r="H1" s="3" t="s">
        <v>36</v>
      </c>
      <c r="I1" s="3" t="s">
        <v>38</v>
      </c>
      <c r="J1" s="3" t="s">
        <v>41</v>
      </c>
      <c r="K1" s="8" t="s">
        <v>44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">
        <f>'form-responses-pt-br'!L2</f>
        <v>5</v>
      </c>
      <c r="B2" s="1">
        <f>'form-responses-pt-br'!M2</f>
        <v>2</v>
      </c>
      <c r="C2" s="1">
        <f>'form-responses-pt-br'!N2</f>
        <v>4</v>
      </c>
      <c r="D2" s="1">
        <f>'form-responses-pt-br'!O2</f>
        <v>1</v>
      </c>
      <c r="E2" s="1">
        <f>'form-responses-pt-br'!P2</f>
        <v>4</v>
      </c>
      <c r="F2" s="1">
        <f>'form-responses-pt-br'!Q2</f>
        <v>2</v>
      </c>
      <c r="G2" s="1">
        <f>'form-responses-pt-br'!R2</f>
        <v>5</v>
      </c>
      <c r="H2" s="1">
        <f>'form-responses-pt-br'!S2</f>
        <v>1</v>
      </c>
      <c r="I2" s="1">
        <f>'form-responses-pt-br'!T2</f>
        <v>5</v>
      </c>
      <c r="J2" s="1">
        <f>'form-responses-pt-br'!U2</f>
        <v>2</v>
      </c>
      <c r="K2" s="1">
        <f t="shared" ref="K2:K33" si="1">((A2-1)+(5-B2)+(C2-1)+(5-D2)+(E2-1)+(5-F2)+(G2-1)+(5-H2)+(I2-1)+(5-J2))*2.5</f>
        <v>87.5</v>
      </c>
    </row>
    <row r="3" ht="12.75" customHeight="1">
      <c r="A3" s="1">
        <f>'form-responses-pt-br'!L3</f>
        <v>3</v>
      </c>
      <c r="B3" s="1">
        <f>'form-responses-pt-br'!M3</f>
        <v>1</v>
      </c>
      <c r="C3" s="1">
        <f>'form-responses-pt-br'!N3</f>
        <v>5</v>
      </c>
      <c r="D3" s="1">
        <f>'form-responses-pt-br'!O3</f>
        <v>1</v>
      </c>
      <c r="E3" s="1">
        <f>'form-responses-pt-br'!P3</f>
        <v>5</v>
      </c>
      <c r="F3" s="1">
        <f>'form-responses-pt-br'!Q3</f>
        <v>1</v>
      </c>
      <c r="G3" s="1">
        <f>'form-responses-pt-br'!R3</f>
        <v>5</v>
      </c>
      <c r="H3" s="1">
        <f>'form-responses-pt-br'!S3</f>
        <v>1</v>
      </c>
      <c r="I3" s="1">
        <f>'form-responses-pt-br'!T3</f>
        <v>5</v>
      </c>
      <c r="J3" s="1">
        <f>'form-responses-pt-br'!U3</f>
        <v>1</v>
      </c>
      <c r="K3" s="1">
        <f t="shared" si="1"/>
        <v>95</v>
      </c>
    </row>
    <row r="4" ht="12.75" customHeight="1">
      <c r="A4" s="1">
        <f>'form-responses-pt-br'!L4</f>
        <v>4</v>
      </c>
      <c r="B4" s="1">
        <f>'form-responses-pt-br'!M4</f>
        <v>1</v>
      </c>
      <c r="C4" s="1">
        <f>'form-responses-pt-br'!N4</f>
        <v>4</v>
      </c>
      <c r="D4" s="1">
        <f>'form-responses-pt-br'!O4</f>
        <v>2</v>
      </c>
      <c r="E4" s="1">
        <f>'form-responses-pt-br'!P4</f>
        <v>5</v>
      </c>
      <c r="F4" s="1">
        <f>'form-responses-pt-br'!Q4</f>
        <v>2</v>
      </c>
      <c r="G4" s="1">
        <f>'form-responses-pt-br'!R4</f>
        <v>5</v>
      </c>
      <c r="H4" s="1">
        <f>'form-responses-pt-br'!S4</f>
        <v>1</v>
      </c>
      <c r="I4" s="1">
        <f>'form-responses-pt-br'!T4</f>
        <v>4</v>
      </c>
      <c r="J4" s="1">
        <f>'form-responses-pt-br'!U4</f>
        <v>1</v>
      </c>
      <c r="K4" s="1">
        <f t="shared" si="1"/>
        <v>87.5</v>
      </c>
    </row>
    <row r="5" ht="12.75" customHeight="1">
      <c r="A5" s="1">
        <f>'form-responses-pt-br'!L5</f>
        <v>4</v>
      </c>
      <c r="B5" s="1">
        <f>'form-responses-pt-br'!M5</f>
        <v>1</v>
      </c>
      <c r="C5" s="1">
        <f>'form-responses-pt-br'!N5</f>
        <v>5</v>
      </c>
      <c r="D5" s="1">
        <f>'form-responses-pt-br'!O5</f>
        <v>1</v>
      </c>
      <c r="E5" s="1">
        <f>'form-responses-pt-br'!P5</f>
        <v>5</v>
      </c>
      <c r="F5" s="1">
        <f>'form-responses-pt-br'!Q5</f>
        <v>1</v>
      </c>
      <c r="G5" s="1">
        <f>'form-responses-pt-br'!R5</f>
        <v>4</v>
      </c>
      <c r="H5" s="1">
        <f>'form-responses-pt-br'!S5</f>
        <v>1</v>
      </c>
      <c r="I5" s="1">
        <f>'form-responses-pt-br'!T5</f>
        <v>4</v>
      </c>
      <c r="J5" s="1">
        <f>'form-responses-pt-br'!U5</f>
        <v>1</v>
      </c>
      <c r="K5" s="1">
        <f t="shared" si="1"/>
        <v>92.5</v>
      </c>
    </row>
    <row r="6" ht="12.75" customHeight="1">
      <c r="A6" s="1">
        <f>'form-responses-pt-br'!L6</f>
        <v>3</v>
      </c>
      <c r="B6" s="1">
        <f>'form-responses-pt-br'!M6</f>
        <v>2</v>
      </c>
      <c r="C6" s="1">
        <f>'form-responses-pt-br'!N6</f>
        <v>4</v>
      </c>
      <c r="D6" s="1">
        <f>'form-responses-pt-br'!O6</f>
        <v>2</v>
      </c>
      <c r="E6" s="1">
        <f>'form-responses-pt-br'!P6</f>
        <v>3</v>
      </c>
      <c r="F6" s="1">
        <f>'form-responses-pt-br'!Q6</f>
        <v>2</v>
      </c>
      <c r="G6" s="1">
        <f>'form-responses-pt-br'!R6</f>
        <v>4</v>
      </c>
      <c r="H6" s="1">
        <f>'form-responses-pt-br'!S6</f>
        <v>2</v>
      </c>
      <c r="I6" s="1">
        <f>'form-responses-pt-br'!T6</f>
        <v>3</v>
      </c>
      <c r="J6" s="1">
        <f>'form-responses-pt-br'!U6</f>
        <v>3</v>
      </c>
      <c r="K6" s="1">
        <f t="shared" si="1"/>
        <v>65</v>
      </c>
    </row>
    <row r="7" ht="12.75" customHeight="1">
      <c r="A7" s="1">
        <f>'form-responses-pt-br'!L7</f>
        <v>2</v>
      </c>
      <c r="B7" s="1">
        <f>'form-responses-pt-br'!M7</f>
        <v>3</v>
      </c>
      <c r="C7" s="1">
        <f>'form-responses-pt-br'!N7</f>
        <v>3</v>
      </c>
      <c r="D7" s="1">
        <f>'form-responses-pt-br'!O7</f>
        <v>1</v>
      </c>
      <c r="E7" s="1">
        <f>'form-responses-pt-br'!P7</f>
        <v>3</v>
      </c>
      <c r="F7" s="1">
        <f>'form-responses-pt-br'!Q7</f>
        <v>1</v>
      </c>
      <c r="G7" s="1">
        <f>'form-responses-pt-br'!R7</f>
        <v>4</v>
      </c>
      <c r="H7" s="1">
        <f>'form-responses-pt-br'!S7</f>
        <v>2</v>
      </c>
      <c r="I7" s="1">
        <f>'form-responses-pt-br'!T7</f>
        <v>3</v>
      </c>
      <c r="J7" s="1">
        <f>'form-responses-pt-br'!U7</f>
        <v>1</v>
      </c>
      <c r="K7" s="1">
        <f t="shared" si="1"/>
        <v>67.5</v>
      </c>
    </row>
    <row r="8" ht="12.75" customHeight="1">
      <c r="A8" s="1">
        <f>'form-responses-pt-br'!L8</f>
        <v>4</v>
      </c>
      <c r="B8" s="1">
        <f>'form-responses-pt-br'!M8</f>
        <v>1</v>
      </c>
      <c r="C8" s="1">
        <f>'form-responses-pt-br'!N8</f>
        <v>5</v>
      </c>
      <c r="D8" s="1">
        <f>'form-responses-pt-br'!O8</f>
        <v>1</v>
      </c>
      <c r="E8" s="1">
        <f>'form-responses-pt-br'!P8</f>
        <v>4</v>
      </c>
      <c r="F8" s="1">
        <f>'form-responses-pt-br'!Q8</f>
        <v>1</v>
      </c>
      <c r="G8" s="1">
        <f>'form-responses-pt-br'!R8</f>
        <v>5</v>
      </c>
      <c r="H8" s="1">
        <f>'form-responses-pt-br'!S8</f>
        <v>1</v>
      </c>
      <c r="I8" s="1">
        <f>'form-responses-pt-br'!T8</f>
        <v>5</v>
      </c>
      <c r="J8" s="1">
        <f>'form-responses-pt-br'!U8</f>
        <v>1</v>
      </c>
      <c r="K8" s="1">
        <f t="shared" si="1"/>
        <v>95</v>
      </c>
    </row>
    <row r="9" ht="12.75" customHeight="1">
      <c r="A9" s="1">
        <f>'form-responses-pt-br'!L9</f>
        <v>5</v>
      </c>
      <c r="B9" s="1">
        <f>'form-responses-pt-br'!M9</f>
        <v>1</v>
      </c>
      <c r="C9" s="1">
        <f>'form-responses-pt-br'!N9</f>
        <v>5</v>
      </c>
      <c r="D9" s="1">
        <f>'form-responses-pt-br'!O9</f>
        <v>1</v>
      </c>
      <c r="E9" s="1">
        <f>'form-responses-pt-br'!P9</f>
        <v>5</v>
      </c>
      <c r="F9" s="1">
        <f>'form-responses-pt-br'!Q9</f>
        <v>1</v>
      </c>
      <c r="G9" s="1">
        <f>'form-responses-pt-br'!R9</f>
        <v>3</v>
      </c>
      <c r="H9" s="1">
        <f>'form-responses-pt-br'!S9</f>
        <v>2</v>
      </c>
      <c r="I9" s="1">
        <f>'form-responses-pt-br'!T9</f>
        <v>5</v>
      </c>
      <c r="J9" s="1">
        <f>'form-responses-pt-br'!U9</f>
        <v>2</v>
      </c>
      <c r="K9" s="1">
        <f t="shared" si="1"/>
        <v>90</v>
      </c>
    </row>
    <row r="10" ht="12.75" customHeight="1">
      <c r="A10" s="1">
        <f>'form-responses-pt-br'!L10</f>
        <v>5</v>
      </c>
      <c r="B10" s="1">
        <f>'form-responses-pt-br'!M10</f>
        <v>3</v>
      </c>
      <c r="C10" s="1">
        <f>'form-responses-pt-br'!N10</f>
        <v>4</v>
      </c>
      <c r="D10" s="1">
        <f>'form-responses-pt-br'!O10</f>
        <v>2</v>
      </c>
      <c r="E10" s="1">
        <f>'form-responses-pt-br'!P10</f>
        <v>3</v>
      </c>
      <c r="F10" s="1">
        <f>'form-responses-pt-br'!Q10</f>
        <v>1</v>
      </c>
      <c r="G10" s="1">
        <f>'form-responses-pt-br'!R10</f>
        <v>4</v>
      </c>
      <c r="H10" s="1">
        <f>'form-responses-pt-br'!S10</f>
        <v>2</v>
      </c>
      <c r="I10" s="1">
        <f>'form-responses-pt-br'!T10</f>
        <v>5</v>
      </c>
      <c r="J10" s="1">
        <f>'form-responses-pt-br'!U10</f>
        <v>2</v>
      </c>
      <c r="K10" s="1">
        <f t="shared" si="1"/>
        <v>77.5</v>
      </c>
    </row>
    <row r="11" ht="12.75" customHeight="1">
      <c r="A11" s="1">
        <f>'form-responses-pt-br'!L11</f>
        <v>3</v>
      </c>
      <c r="B11" s="1">
        <f>'form-responses-pt-br'!M11</f>
        <v>3</v>
      </c>
      <c r="C11" s="1">
        <f>'form-responses-pt-br'!N11</f>
        <v>3</v>
      </c>
      <c r="D11" s="1">
        <f>'form-responses-pt-br'!O11</f>
        <v>3</v>
      </c>
      <c r="E11" s="1">
        <f>'form-responses-pt-br'!P11</f>
        <v>4</v>
      </c>
      <c r="F11" s="1">
        <f>'form-responses-pt-br'!Q11</f>
        <v>2</v>
      </c>
      <c r="G11" s="1">
        <f>'form-responses-pt-br'!R11</f>
        <v>3</v>
      </c>
      <c r="H11" s="1">
        <f>'form-responses-pt-br'!S11</f>
        <v>3</v>
      </c>
      <c r="I11" s="1">
        <f>'form-responses-pt-br'!T11</f>
        <v>3</v>
      </c>
      <c r="J11" s="1">
        <f>'form-responses-pt-br'!U11</f>
        <v>1</v>
      </c>
      <c r="K11" s="1">
        <f t="shared" si="1"/>
        <v>60</v>
      </c>
    </row>
    <row r="12" ht="12.75" customHeight="1">
      <c r="A12" s="1">
        <f>'form-responses-pt-br'!L12</f>
        <v>4</v>
      </c>
      <c r="B12" s="1">
        <f>'form-responses-pt-br'!M12</f>
        <v>2</v>
      </c>
      <c r="C12" s="1">
        <f>'form-responses-pt-br'!N12</f>
        <v>4</v>
      </c>
      <c r="D12" s="1">
        <f>'form-responses-pt-br'!O12</f>
        <v>4</v>
      </c>
      <c r="E12" s="1">
        <f>'form-responses-pt-br'!P12</f>
        <v>4</v>
      </c>
      <c r="F12" s="1">
        <f>'form-responses-pt-br'!Q12</f>
        <v>1</v>
      </c>
      <c r="G12" s="1">
        <f>'form-responses-pt-br'!R12</f>
        <v>4</v>
      </c>
      <c r="H12" s="1">
        <f>'form-responses-pt-br'!S12</f>
        <v>2</v>
      </c>
      <c r="I12" s="1">
        <f>'form-responses-pt-br'!T12</f>
        <v>4</v>
      </c>
      <c r="J12" s="1">
        <f>'form-responses-pt-br'!U12</f>
        <v>3</v>
      </c>
      <c r="K12" s="1">
        <f t="shared" si="1"/>
        <v>70</v>
      </c>
    </row>
    <row r="13" ht="12.75" customHeight="1">
      <c r="A13" s="1">
        <f>'form-responses-pt-br'!L13</f>
        <v>4</v>
      </c>
      <c r="B13" s="1">
        <f>'form-responses-pt-br'!M13</f>
        <v>3</v>
      </c>
      <c r="C13" s="1">
        <f>'form-responses-pt-br'!N13</f>
        <v>3</v>
      </c>
      <c r="D13" s="1">
        <f>'form-responses-pt-br'!O13</f>
        <v>4</v>
      </c>
      <c r="E13" s="1">
        <f>'form-responses-pt-br'!P13</f>
        <v>4</v>
      </c>
      <c r="F13" s="1">
        <f>'form-responses-pt-br'!Q13</f>
        <v>2</v>
      </c>
      <c r="G13" s="1">
        <f>'form-responses-pt-br'!R13</f>
        <v>2</v>
      </c>
      <c r="H13" s="1">
        <f>'form-responses-pt-br'!S13</f>
        <v>2</v>
      </c>
      <c r="I13" s="1">
        <f>'form-responses-pt-br'!T13</f>
        <v>4</v>
      </c>
      <c r="J13" s="1">
        <f>'form-responses-pt-br'!U13</f>
        <v>4</v>
      </c>
      <c r="K13" s="1">
        <f t="shared" si="1"/>
        <v>55</v>
      </c>
    </row>
    <row r="14" ht="12.75" customHeight="1">
      <c r="A14" s="1">
        <f>'form-responses-pt-br'!L14</f>
        <v>3</v>
      </c>
      <c r="B14" s="1">
        <f>'form-responses-pt-br'!M14</f>
        <v>3</v>
      </c>
      <c r="C14" s="1">
        <f>'form-responses-pt-br'!N14</f>
        <v>3</v>
      </c>
      <c r="D14" s="1">
        <f>'form-responses-pt-br'!O14</f>
        <v>2</v>
      </c>
      <c r="E14" s="1">
        <f>'form-responses-pt-br'!P14</f>
        <v>4</v>
      </c>
      <c r="F14" s="1">
        <f>'form-responses-pt-br'!Q14</f>
        <v>2</v>
      </c>
      <c r="G14" s="1">
        <f>'form-responses-pt-br'!R14</f>
        <v>4</v>
      </c>
      <c r="H14" s="1">
        <f>'form-responses-pt-br'!S14</f>
        <v>2</v>
      </c>
      <c r="I14" s="1">
        <f>'form-responses-pt-br'!T14</f>
        <v>4</v>
      </c>
      <c r="J14" s="1">
        <f>'form-responses-pt-br'!U14</f>
        <v>3</v>
      </c>
      <c r="K14" s="1">
        <f t="shared" si="1"/>
        <v>65</v>
      </c>
    </row>
    <row r="15" ht="12.75" customHeight="1">
      <c r="A15" s="1">
        <f>'form-responses-pt-br'!L15</f>
        <v>5</v>
      </c>
      <c r="B15" s="1">
        <f>'form-responses-pt-br'!M15</f>
        <v>3</v>
      </c>
      <c r="C15" s="1">
        <f>'form-responses-pt-br'!N15</f>
        <v>2</v>
      </c>
      <c r="D15" s="1">
        <f>'form-responses-pt-br'!O15</f>
        <v>4</v>
      </c>
      <c r="E15" s="1">
        <f>'form-responses-pt-br'!P15</f>
        <v>4</v>
      </c>
      <c r="F15" s="1">
        <f>'form-responses-pt-br'!Q15</f>
        <v>4</v>
      </c>
      <c r="G15" s="1">
        <f>'form-responses-pt-br'!R15</f>
        <v>5</v>
      </c>
      <c r="H15" s="1">
        <f>'form-responses-pt-br'!S15</f>
        <v>2</v>
      </c>
      <c r="I15" s="1">
        <f>'form-responses-pt-br'!T15</f>
        <v>4</v>
      </c>
      <c r="J15" s="1">
        <f>'form-responses-pt-br'!U15</f>
        <v>5</v>
      </c>
      <c r="K15" s="1">
        <f t="shared" si="1"/>
        <v>55</v>
      </c>
    </row>
    <row r="16" ht="12.75" customHeight="1">
      <c r="A16" s="1">
        <f>'form-responses-pt-br'!L16</f>
        <v>3</v>
      </c>
      <c r="B16" s="1">
        <f>'form-responses-pt-br'!M16</f>
        <v>3</v>
      </c>
      <c r="C16" s="1">
        <f>'form-responses-pt-br'!N16</f>
        <v>3</v>
      </c>
      <c r="D16" s="1">
        <f>'form-responses-pt-br'!O16</f>
        <v>1</v>
      </c>
      <c r="E16" s="1">
        <f>'form-responses-pt-br'!P16</f>
        <v>3</v>
      </c>
      <c r="F16" s="1">
        <f>'form-responses-pt-br'!Q16</f>
        <v>3</v>
      </c>
      <c r="G16" s="1">
        <f>'form-responses-pt-br'!R16</f>
        <v>2</v>
      </c>
      <c r="H16" s="1">
        <f>'form-responses-pt-br'!S16</f>
        <v>3</v>
      </c>
      <c r="I16" s="1">
        <f>'form-responses-pt-br'!T16</f>
        <v>3</v>
      </c>
      <c r="J16" s="1">
        <f>'form-responses-pt-br'!U16</f>
        <v>4</v>
      </c>
      <c r="K16" s="1">
        <f t="shared" si="1"/>
        <v>50</v>
      </c>
    </row>
    <row r="17" ht="12.75" customHeight="1">
      <c r="A17" s="1">
        <f>'form-responses-pt-br'!L17</f>
        <v>4</v>
      </c>
      <c r="B17" s="1">
        <f>'form-responses-pt-br'!M17</f>
        <v>3</v>
      </c>
      <c r="C17" s="1">
        <f>'form-responses-pt-br'!N17</f>
        <v>4</v>
      </c>
      <c r="D17" s="1">
        <f>'form-responses-pt-br'!O17</f>
        <v>1</v>
      </c>
      <c r="E17" s="1">
        <f>'form-responses-pt-br'!P17</f>
        <v>4</v>
      </c>
      <c r="F17" s="1">
        <f>'form-responses-pt-br'!Q17</f>
        <v>1</v>
      </c>
      <c r="G17" s="1">
        <f>'form-responses-pt-br'!R17</f>
        <v>4</v>
      </c>
      <c r="H17" s="1">
        <f>'form-responses-pt-br'!S17</f>
        <v>1</v>
      </c>
      <c r="I17" s="1">
        <f>'form-responses-pt-br'!T17</f>
        <v>4</v>
      </c>
      <c r="J17" s="1">
        <f>'form-responses-pt-br'!U17</f>
        <v>2</v>
      </c>
      <c r="K17" s="1">
        <f t="shared" si="1"/>
        <v>80</v>
      </c>
    </row>
    <row r="18" ht="12.75" customHeight="1">
      <c r="A18" s="1">
        <f>'form-responses-pt-br'!L18</f>
        <v>4</v>
      </c>
      <c r="B18" s="1">
        <f>'form-responses-pt-br'!M18</f>
        <v>1</v>
      </c>
      <c r="C18" s="1">
        <f>'form-responses-pt-br'!N18</f>
        <v>5</v>
      </c>
      <c r="D18" s="1">
        <f>'form-responses-pt-br'!O18</f>
        <v>1</v>
      </c>
      <c r="E18" s="1">
        <f>'form-responses-pt-br'!P18</f>
        <v>3</v>
      </c>
      <c r="F18" s="1">
        <f>'form-responses-pt-br'!Q18</f>
        <v>1</v>
      </c>
      <c r="G18" s="1">
        <f>'form-responses-pt-br'!R18</f>
        <v>4</v>
      </c>
      <c r="H18" s="1">
        <f>'form-responses-pt-br'!S18</f>
        <v>1</v>
      </c>
      <c r="I18" s="1">
        <f>'form-responses-pt-br'!T18</f>
        <v>4</v>
      </c>
      <c r="J18" s="1">
        <f>'form-responses-pt-br'!U18</f>
        <v>1</v>
      </c>
      <c r="K18" s="1">
        <f t="shared" si="1"/>
        <v>87.5</v>
      </c>
    </row>
    <row r="19" ht="12.75" customHeight="1">
      <c r="A19" s="1">
        <f>'form-responses-pt-br'!L19</f>
        <v>5</v>
      </c>
      <c r="B19" s="1">
        <f>'form-responses-pt-br'!M19</f>
        <v>3</v>
      </c>
      <c r="C19" s="1">
        <f>'form-responses-pt-br'!N19</f>
        <v>3</v>
      </c>
      <c r="D19" s="1">
        <f>'form-responses-pt-br'!O19</f>
        <v>4</v>
      </c>
      <c r="E19" s="1">
        <f>'form-responses-pt-br'!P19</f>
        <v>3</v>
      </c>
      <c r="F19" s="1">
        <f>'form-responses-pt-br'!Q19</f>
        <v>1</v>
      </c>
      <c r="G19" s="1">
        <f>'form-responses-pt-br'!R19</f>
        <v>3</v>
      </c>
      <c r="H19" s="1">
        <f>'form-responses-pt-br'!S19</f>
        <v>4</v>
      </c>
      <c r="I19" s="1">
        <f>'form-responses-pt-br'!T19</f>
        <v>4</v>
      </c>
      <c r="J19" s="1">
        <f>'form-responses-pt-br'!U19</f>
        <v>4</v>
      </c>
      <c r="K19" s="1">
        <f t="shared" si="1"/>
        <v>55</v>
      </c>
    </row>
    <row r="20" ht="12.75" customHeight="1">
      <c r="A20" s="1">
        <f>'form-responses-pt-br'!L20</f>
        <v>4</v>
      </c>
      <c r="B20" s="1">
        <f>'form-responses-pt-br'!M20</f>
        <v>2</v>
      </c>
      <c r="C20" s="1">
        <f>'form-responses-pt-br'!N20</f>
        <v>4</v>
      </c>
      <c r="D20" s="1">
        <f>'form-responses-pt-br'!O20</f>
        <v>2</v>
      </c>
      <c r="E20" s="1">
        <f>'form-responses-pt-br'!P20</f>
        <v>3</v>
      </c>
      <c r="F20" s="1">
        <f>'form-responses-pt-br'!Q20</f>
        <v>1</v>
      </c>
      <c r="G20" s="1">
        <f>'form-responses-pt-br'!R20</f>
        <v>4</v>
      </c>
      <c r="H20" s="1">
        <f>'form-responses-pt-br'!S20</f>
        <v>1</v>
      </c>
      <c r="I20" s="1">
        <f>'form-responses-pt-br'!T20</f>
        <v>5</v>
      </c>
      <c r="J20" s="1">
        <f>'form-responses-pt-br'!U20</f>
        <v>1</v>
      </c>
      <c r="K20" s="1">
        <f t="shared" si="1"/>
        <v>82.5</v>
      </c>
    </row>
    <row r="21" ht="12.75" customHeight="1">
      <c r="A21" s="1">
        <f>'form-responses-pt-br'!L21</f>
        <v>3</v>
      </c>
      <c r="B21" s="1">
        <f>'form-responses-pt-br'!M21</f>
        <v>3</v>
      </c>
      <c r="C21" s="1">
        <f>'form-responses-pt-br'!N21</f>
        <v>3</v>
      </c>
      <c r="D21" s="1">
        <f>'form-responses-pt-br'!O21</f>
        <v>2</v>
      </c>
      <c r="E21" s="1">
        <f>'form-responses-pt-br'!P21</f>
        <v>4</v>
      </c>
      <c r="F21" s="1">
        <f>'form-responses-pt-br'!Q21</f>
        <v>1</v>
      </c>
      <c r="G21" s="1">
        <f>'form-responses-pt-br'!R21</f>
        <v>4</v>
      </c>
      <c r="H21" s="1">
        <f>'form-responses-pt-br'!S21</f>
        <v>3</v>
      </c>
      <c r="I21" s="1">
        <f>'form-responses-pt-br'!T21</f>
        <v>4</v>
      </c>
      <c r="J21" s="1">
        <f>'form-responses-pt-br'!U21</f>
        <v>1</v>
      </c>
      <c r="K21" s="1">
        <f t="shared" si="1"/>
        <v>70</v>
      </c>
    </row>
    <row r="22" ht="12.75" customHeight="1">
      <c r="A22" s="1">
        <f>'form-responses-pt-br'!L22</f>
        <v>3</v>
      </c>
      <c r="B22" s="1">
        <f>'form-responses-pt-br'!M22</f>
        <v>3</v>
      </c>
      <c r="C22" s="1">
        <f>'form-responses-pt-br'!N22</f>
        <v>2</v>
      </c>
      <c r="D22" s="1">
        <f>'form-responses-pt-br'!O22</f>
        <v>2</v>
      </c>
      <c r="E22" s="1">
        <f>'form-responses-pt-br'!P22</f>
        <v>3</v>
      </c>
      <c r="F22" s="1">
        <f>'form-responses-pt-br'!Q22</f>
        <v>3</v>
      </c>
      <c r="G22" s="1">
        <f>'form-responses-pt-br'!R22</f>
        <v>4</v>
      </c>
      <c r="H22" s="1">
        <f>'form-responses-pt-br'!S22</f>
        <v>2</v>
      </c>
      <c r="I22" s="1">
        <f>'form-responses-pt-br'!T22</f>
        <v>2</v>
      </c>
      <c r="J22" s="1">
        <f>'form-responses-pt-br'!U22</f>
        <v>2</v>
      </c>
      <c r="K22" s="1">
        <f t="shared" si="1"/>
        <v>55</v>
      </c>
    </row>
    <row r="23" ht="12.75" customHeight="1">
      <c r="A23" s="1">
        <f>'form-responses-pt-br'!L23</f>
        <v>3</v>
      </c>
      <c r="B23" s="1">
        <f>'form-responses-pt-br'!M23</f>
        <v>2</v>
      </c>
      <c r="C23" s="1">
        <f>'form-responses-pt-br'!N23</f>
        <v>4</v>
      </c>
      <c r="D23" s="1">
        <f>'form-responses-pt-br'!O23</f>
        <v>1</v>
      </c>
      <c r="E23" s="1">
        <f>'form-responses-pt-br'!P23</f>
        <v>3</v>
      </c>
      <c r="F23" s="1">
        <f>'form-responses-pt-br'!Q23</f>
        <v>1</v>
      </c>
      <c r="G23" s="1">
        <f>'form-responses-pt-br'!R23</f>
        <v>5</v>
      </c>
      <c r="H23" s="1">
        <f>'form-responses-pt-br'!S23</f>
        <v>1</v>
      </c>
      <c r="I23" s="1">
        <f>'form-responses-pt-br'!T23</f>
        <v>3</v>
      </c>
      <c r="J23" s="1">
        <f>'form-responses-pt-br'!U23</f>
        <v>2</v>
      </c>
      <c r="K23" s="1">
        <f t="shared" si="1"/>
        <v>77.5</v>
      </c>
    </row>
    <row r="24" ht="12.75" customHeight="1">
      <c r="A24" s="1">
        <f>'form-responses-pt-br'!L24</f>
        <v>3</v>
      </c>
      <c r="B24" s="1">
        <f>'form-responses-pt-br'!M24</f>
        <v>4</v>
      </c>
      <c r="C24" s="1">
        <f>'form-responses-pt-br'!N24</f>
        <v>2</v>
      </c>
      <c r="D24" s="1">
        <f>'form-responses-pt-br'!O24</f>
        <v>4</v>
      </c>
      <c r="E24" s="1">
        <f>'form-responses-pt-br'!P24</f>
        <v>3</v>
      </c>
      <c r="F24" s="1">
        <f>'form-responses-pt-br'!Q24</f>
        <v>2</v>
      </c>
      <c r="G24" s="1">
        <f>'form-responses-pt-br'!R24</f>
        <v>2</v>
      </c>
      <c r="H24" s="1">
        <f>'form-responses-pt-br'!S24</f>
        <v>3</v>
      </c>
      <c r="I24" s="1">
        <f>'form-responses-pt-br'!T24</f>
        <v>2</v>
      </c>
      <c r="J24" s="1">
        <f>'form-responses-pt-br'!U24</f>
        <v>3</v>
      </c>
      <c r="K24" s="1">
        <f t="shared" si="1"/>
        <v>40</v>
      </c>
    </row>
    <row r="25" ht="12.75" customHeight="1">
      <c r="A25" s="1">
        <f>'form-responses-pt-br'!L25</f>
        <v>3</v>
      </c>
      <c r="B25" s="1">
        <f>'form-responses-pt-br'!M25</f>
        <v>2</v>
      </c>
      <c r="C25" s="1">
        <f>'form-responses-pt-br'!N25</f>
        <v>5</v>
      </c>
      <c r="D25" s="1">
        <f>'form-responses-pt-br'!O25</f>
        <v>1</v>
      </c>
      <c r="E25" s="1">
        <f>'form-responses-pt-br'!P25</f>
        <v>3</v>
      </c>
      <c r="F25" s="1">
        <f>'form-responses-pt-br'!Q25</f>
        <v>1</v>
      </c>
      <c r="G25" s="1">
        <f>'form-responses-pt-br'!R25</f>
        <v>4</v>
      </c>
      <c r="H25" s="1">
        <f>'form-responses-pt-br'!S25</f>
        <v>1</v>
      </c>
      <c r="I25" s="1">
        <f>'form-responses-pt-br'!T25</f>
        <v>4</v>
      </c>
      <c r="J25" s="1">
        <f>'form-responses-pt-br'!U25</f>
        <v>1</v>
      </c>
      <c r="K25" s="1">
        <f t="shared" si="1"/>
        <v>82.5</v>
      </c>
    </row>
    <row r="26" ht="12.75" customHeight="1">
      <c r="A26" s="1">
        <f>'form-responses-pt-br'!L26</f>
        <v>4</v>
      </c>
      <c r="B26" s="1">
        <f>'form-responses-pt-br'!M26</f>
        <v>2</v>
      </c>
      <c r="C26" s="1">
        <f>'form-responses-pt-br'!N26</f>
        <v>4</v>
      </c>
      <c r="D26" s="1">
        <f>'form-responses-pt-br'!O26</f>
        <v>1</v>
      </c>
      <c r="E26" s="1">
        <f>'form-responses-pt-br'!P26</f>
        <v>5</v>
      </c>
      <c r="F26" s="1">
        <f>'form-responses-pt-br'!Q26</f>
        <v>1</v>
      </c>
      <c r="G26" s="1">
        <f>'form-responses-pt-br'!R26</f>
        <v>5</v>
      </c>
      <c r="H26" s="1">
        <f>'form-responses-pt-br'!S26</f>
        <v>1</v>
      </c>
      <c r="I26" s="1">
        <f>'form-responses-pt-br'!T26</f>
        <v>3</v>
      </c>
      <c r="J26" s="1">
        <f>'form-responses-pt-br'!U26</f>
        <v>2</v>
      </c>
      <c r="K26" s="1">
        <f t="shared" si="1"/>
        <v>85</v>
      </c>
    </row>
    <row r="27" ht="12.75" customHeight="1">
      <c r="A27" s="1">
        <f>'form-responses-pt-br'!L27</f>
        <v>3</v>
      </c>
      <c r="B27" s="1">
        <f>'form-responses-pt-br'!M27</f>
        <v>1</v>
      </c>
      <c r="C27" s="1">
        <f>'form-responses-pt-br'!N27</f>
        <v>5</v>
      </c>
      <c r="D27" s="1">
        <f>'form-responses-pt-br'!O27</f>
        <v>1</v>
      </c>
      <c r="E27" s="1">
        <f>'form-responses-pt-br'!P27</f>
        <v>5</v>
      </c>
      <c r="F27" s="1">
        <f>'form-responses-pt-br'!Q27</f>
        <v>1</v>
      </c>
      <c r="G27" s="1">
        <f>'form-responses-pt-br'!R27</f>
        <v>4</v>
      </c>
      <c r="H27" s="1">
        <f>'form-responses-pt-br'!S27</f>
        <v>1</v>
      </c>
      <c r="I27" s="1">
        <f>'form-responses-pt-br'!T27</f>
        <v>3</v>
      </c>
      <c r="J27" s="1">
        <f>'form-responses-pt-br'!U27</f>
        <v>2</v>
      </c>
      <c r="K27" s="1">
        <f t="shared" si="1"/>
        <v>85</v>
      </c>
    </row>
    <row r="28" ht="12.75" customHeight="1">
      <c r="A28" s="1">
        <f>'form-responses-pt-br'!L28</f>
        <v>4</v>
      </c>
      <c r="B28" s="1">
        <f>'form-responses-pt-br'!M28</f>
        <v>2</v>
      </c>
      <c r="C28" s="1">
        <f>'form-responses-pt-br'!N28</f>
        <v>4</v>
      </c>
      <c r="D28" s="1">
        <f>'form-responses-pt-br'!O28</f>
        <v>3</v>
      </c>
      <c r="E28" s="1">
        <f>'form-responses-pt-br'!P28</f>
        <v>3</v>
      </c>
      <c r="F28" s="1">
        <f>'form-responses-pt-br'!Q28</f>
        <v>2</v>
      </c>
      <c r="G28" s="1">
        <f>'form-responses-pt-br'!R28</f>
        <v>4</v>
      </c>
      <c r="H28" s="1">
        <f>'form-responses-pt-br'!S28</f>
        <v>2</v>
      </c>
      <c r="I28" s="1">
        <f>'form-responses-pt-br'!T28</f>
        <v>4</v>
      </c>
      <c r="J28" s="1">
        <f>'form-responses-pt-br'!U28</f>
        <v>1</v>
      </c>
      <c r="K28" s="1">
        <f t="shared" si="1"/>
        <v>72.5</v>
      </c>
    </row>
    <row r="29" ht="12.75" customHeight="1">
      <c r="A29" s="1">
        <f>'form-responses-pt-br'!L29</f>
        <v>3</v>
      </c>
      <c r="B29" s="1">
        <f>'form-responses-pt-br'!M29</f>
        <v>4</v>
      </c>
      <c r="C29" s="1">
        <f>'form-responses-pt-br'!N29</f>
        <v>3</v>
      </c>
      <c r="D29" s="1">
        <f>'form-responses-pt-br'!O29</f>
        <v>4</v>
      </c>
      <c r="E29" s="1">
        <f>'form-responses-pt-br'!P29</f>
        <v>4</v>
      </c>
      <c r="F29" s="1">
        <f>'form-responses-pt-br'!Q29</f>
        <v>3</v>
      </c>
      <c r="G29" s="1">
        <f>'form-responses-pt-br'!R29</f>
        <v>3</v>
      </c>
      <c r="H29" s="1">
        <f>'form-responses-pt-br'!S29</f>
        <v>5</v>
      </c>
      <c r="I29" s="1">
        <f>'form-responses-pt-br'!T29</f>
        <v>2</v>
      </c>
      <c r="J29" s="1">
        <f>'form-responses-pt-br'!U29</f>
        <v>4</v>
      </c>
      <c r="K29" s="1">
        <f t="shared" si="1"/>
        <v>37.5</v>
      </c>
    </row>
    <row r="30" ht="12.75" customHeight="1">
      <c r="A30" s="1">
        <f>'form-responses-pt-br'!L30</f>
        <v>4</v>
      </c>
      <c r="B30" s="1">
        <f>'form-responses-pt-br'!M30</f>
        <v>2</v>
      </c>
      <c r="C30" s="1">
        <f>'form-responses-pt-br'!N30</f>
        <v>4</v>
      </c>
      <c r="D30" s="1">
        <f>'form-responses-pt-br'!O30</f>
        <v>3</v>
      </c>
      <c r="E30" s="1">
        <f>'form-responses-pt-br'!P30</f>
        <v>5</v>
      </c>
      <c r="F30" s="1">
        <f>'form-responses-pt-br'!Q30</f>
        <v>1</v>
      </c>
      <c r="G30" s="1">
        <f>'form-responses-pt-br'!R30</f>
        <v>4</v>
      </c>
      <c r="H30" s="1">
        <f>'form-responses-pt-br'!S30</f>
        <v>3</v>
      </c>
      <c r="I30" s="1">
        <f>'form-responses-pt-br'!T30</f>
        <v>3</v>
      </c>
      <c r="J30" s="1">
        <f>'form-responses-pt-br'!U30</f>
        <v>2</v>
      </c>
      <c r="K30" s="1">
        <f t="shared" si="1"/>
        <v>72.5</v>
      </c>
    </row>
    <row r="31" ht="12.75" customHeight="1">
      <c r="A31" s="1">
        <f>'form-responses-pt-br'!L31</f>
        <v>3</v>
      </c>
      <c r="B31" s="1">
        <f>'form-responses-pt-br'!M31</f>
        <v>2</v>
      </c>
      <c r="C31" s="1">
        <f>'form-responses-pt-br'!N31</f>
        <v>5</v>
      </c>
      <c r="D31" s="1">
        <f>'form-responses-pt-br'!O31</f>
        <v>4</v>
      </c>
      <c r="E31" s="1">
        <f>'form-responses-pt-br'!P31</f>
        <v>5</v>
      </c>
      <c r="F31" s="1">
        <f>'form-responses-pt-br'!Q31</f>
        <v>2</v>
      </c>
      <c r="G31" s="1">
        <f>'form-responses-pt-br'!R31</f>
        <v>5</v>
      </c>
      <c r="H31" s="1">
        <f>'form-responses-pt-br'!S31</f>
        <v>5</v>
      </c>
      <c r="I31" s="1">
        <f>'form-responses-pt-br'!T31</f>
        <v>5</v>
      </c>
      <c r="J31" s="1">
        <f>'form-responses-pt-br'!U31</f>
        <v>5</v>
      </c>
      <c r="K31" s="1">
        <f t="shared" si="1"/>
        <v>62.5</v>
      </c>
    </row>
    <row r="32" ht="12.75" customHeight="1">
      <c r="A32" s="1">
        <f>'form-responses-pt-br'!L32</f>
        <v>4</v>
      </c>
      <c r="B32" s="1">
        <f>'form-responses-pt-br'!M32</f>
        <v>1</v>
      </c>
      <c r="C32" s="1">
        <f>'form-responses-pt-br'!N32</f>
        <v>5</v>
      </c>
      <c r="D32" s="1">
        <f>'form-responses-pt-br'!O32</f>
        <v>1</v>
      </c>
      <c r="E32" s="1">
        <f>'form-responses-pt-br'!P32</f>
        <v>5</v>
      </c>
      <c r="F32" s="1">
        <f>'form-responses-pt-br'!Q32</f>
        <v>1</v>
      </c>
      <c r="G32" s="1">
        <f>'form-responses-pt-br'!R32</f>
        <v>5</v>
      </c>
      <c r="H32" s="1">
        <f>'form-responses-pt-br'!S32</f>
        <v>1</v>
      </c>
      <c r="I32" s="1">
        <f>'form-responses-pt-br'!T32</f>
        <v>5</v>
      </c>
      <c r="J32" s="1">
        <f>'form-responses-pt-br'!U32</f>
        <v>2</v>
      </c>
      <c r="K32" s="1">
        <f t="shared" si="1"/>
        <v>95</v>
      </c>
    </row>
    <row r="33" ht="12.75" customHeight="1">
      <c r="A33" s="1">
        <f>'form-responses-pt-br'!L33</f>
        <v>3</v>
      </c>
      <c r="B33" s="1">
        <f>'form-responses-pt-br'!M33</f>
        <v>1</v>
      </c>
      <c r="C33" s="1">
        <f>'form-responses-pt-br'!N33</f>
        <v>4</v>
      </c>
      <c r="D33" s="1">
        <f>'form-responses-pt-br'!O33</f>
        <v>3</v>
      </c>
      <c r="E33" s="1">
        <f>'form-responses-pt-br'!P33</f>
        <v>3</v>
      </c>
      <c r="F33" s="1">
        <f>'form-responses-pt-br'!Q33</f>
        <v>2</v>
      </c>
      <c r="G33" s="1">
        <f>'form-responses-pt-br'!R33</f>
        <v>4</v>
      </c>
      <c r="H33" s="1">
        <f>'form-responses-pt-br'!S33</f>
        <v>2</v>
      </c>
      <c r="I33" s="1">
        <f>'form-responses-pt-br'!T33</f>
        <v>3</v>
      </c>
      <c r="J33" s="1">
        <f>'form-responses-pt-br'!U33</f>
        <v>2</v>
      </c>
      <c r="K33" s="1">
        <f t="shared" si="1"/>
        <v>67.5</v>
      </c>
    </row>
    <row r="34" ht="12.75" customHeight="1">
      <c r="K34" s="1">
        <v>72.5</v>
      </c>
    </row>
    <row r="35" ht="12.75" customHeight="1"/>
    <row r="36" ht="12.75" customHeight="1">
      <c r="K36" s="1">
        <f>AVERAGE(K2:K33)</f>
        <v>72.5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88"/>
    <col customWidth="1" min="2" max="2" width="37.63"/>
    <col customWidth="1" min="3" max="7" width="11.5"/>
    <col customWidth="1" min="8" max="26" width="8.63"/>
  </cols>
  <sheetData>
    <row r="1" ht="12.75" customHeight="1"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1" t="s">
        <v>10</v>
      </c>
    </row>
    <row r="2" ht="12.75" customHeight="1">
      <c r="A2" s="1" t="s">
        <v>13</v>
      </c>
      <c r="B2" s="1">
        <v>0.0</v>
      </c>
      <c r="C2" s="1">
        <v>0.0</v>
      </c>
      <c r="D2" s="1">
        <v>1.0</v>
      </c>
      <c r="E2" s="1">
        <v>6.0</v>
      </c>
      <c r="F2" s="1">
        <v>25.0</v>
      </c>
      <c r="G2" s="1">
        <f>F2+E2+D2+C2+B2</f>
        <v>32</v>
      </c>
    </row>
    <row r="3" ht="12.75" customHeight="1">
      <c r="A3" s="1" t="s">
        <v>46</v>
      </c>
      <c r="B3" s="1">
        <v>0.0</v>
      </c>
      <c r="C3" s="1">
        <v>2.0</v>
      </c>
      <c r="D3" s="1">
        <v>8.0</v>
      </c>
      <c r="E3" s="1">
        <v>6.0</v>
      </c>
      <c r="F3" s="1">
        <v>16.0</v>
      </c>
      <c r="G3" s="1">
        <f t="shared" ref="G3:G6" si="1">SUM(B3:F3)</f>
        <v>32</v>
      </c>
    </row>
    <row r="4" ht="12.75" customHeight="1">
      <c r="A4" s="1" t="s">
        <v>49</v>
      </c>
      <c r="B4" s="1">
        <v>0.0</v>
      </c>
      <c r="C4" s="1">
        <v>0.0</v>
      </c>
      <c r="D4" s="1">
        <v>1.0</v>
      </c>
      <c r="E4" s="1">
        <v>5.0</v>
      </c>
      <c r="F4" s="1">
        <v>26.0</v>
      </c>
      <c r="G4" s="1">
        <f t="shared" si="1"/>
        <v>32</v>
      </c>
    </row>
    <row r="5" ht="12.75" customHeight="1">
      <c r="A5" s="1" t="s">
        <v>52</v>
      </c>
      <c r="B5" s="1">
        <v>0.0</v>
      </c>
      <c r="C5" s="1">
        <v>0.0</v>
      </c>
      <c r="D5" s="1">
        <v>1.0</v>
      </c>
      <c r="E5" s="1">
        <v>9.0</v>
      </c>
      <c r="F5" s="1">
        <v>22.0</v>
      </c>
      <c r="G5" s="1">
        <f t="shared" si="1"/>
        <v>32</v>
      </c>
    </row>
    <row r="6" ht="12.75" customHeight="1">
      <c r="A6" s="1" t="s">
        <v>56</v>
      </c>
      <c r="B6" s="1">
        <v>0.0</v>
      </c>
      <c r="C6" s="1">
        <v>2.0</v>
      </c>
      <c r="D6" s="1">
        <v>3.0</v>
      </c>
      <c r="E6" s="1">
        <v>11.0</v>
      </c>
      <c r="F6" s="1">
        <v>16.0</v>
      </c>
      <c r="G6" s="1">
        <f t="shared" si="1"/>
        <v>32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75"/>
    <col customWidth="1" min="2" max="2" width="27.0"/>
    <col customWidth="1" min="3" max="7" width="11.5"/>
    <col customWidth="1" min="8" max="27" width="8.63"/>
  </cols>
  <sheetData>
    <row r="1" ht="12.75" customHeight="1">
      <c r="A1" s="4" t="s">
        <v>1</v>
      </c>
      <c r="B1" s="4" t="s">
        <v>14</v>
      </c>
    </row>
    <row r="2" ht="12.75" customHeight="1">
      <c r="A2" s="5" t="s">
        <v>4</v>
      </c>
      <c r="B2" s="6" t="s">
        <v>20</v>
      </c>
    </row>
    <row r="3" ht="12.75" customHeight="1">
      <c r="A3" s="5" t="s">
        <v>22</v>
      </c>
      <c r="B3" s="6" t="s">
        <v>24</v>
      </c>
      <c r="C3" s="1">
        <v>21.0</v>
      </c>
      <c r="D3" s="9">
        <f>C3/C8</f>
        <v>0.65625</v>
      </c>
    </row>
    <row r="4" ht="12.75" customHeight="1">
      <c r="A4" s="5" t="s">
        <v>47</v>
      </c>
      <c r="B4" s="6" t="s">
        <v>48</v>
      </c>
      <c r="C4" s="1">
        <v>6.0</v>
      </c>
      <c r="D4" s="9">
        <f>C4/C8</f>
        <v>0.1875</v>
      </c>
    </row>
    <row r="5" ht="12.75" customHeight="1">
      <c r="A5" s="5" t="s">
        <v>54</v>
      </c>
      <c r="B5" s="6" t="s">
        <v>55</v>
      </c>
      <c r="C5" s="1">
        <v>3.0</v>
      </c>
      <c r="D5" s="9">
        <f>C5/C8</f>
        <v>0.09375</v>
      </c>
    </row>
    <row r="6" ht="12.75" customHeight="1">
      <c r="A6" s="5" t="s">
        <v>59</v>
      </c>
      <c r="B6" s="6" t="s">
        <v>60</v>
      </c>
      <c r="C6" s="1">
        <v>2.0</v>
      </c>
      <c r="D6" s="9">
        <f t="shared" ref="D6:D7" si="1">C6/$C$8</f>
        <v>0.0625</v>
      </c>
    </row>
    <row r="7" ht="12.75" customHeight="1">
      <c r="A7" s="10" t="s">
        <v>61</v>
      </c>
      <c r="B7" s="6" t="s">
        <v>62</v>
      </c>
      <c r="C7" s="4">
        <v>0.0</v>
      </c>
      <c r="D7" s="9">
        <f t="shared" si="1"/>
        <v>0</v>
      </c>
    </row>
    <row r="8" ht="12.75" customHeight="1">
      <c r="A8" s="1" t="s">
        <v>65</v>
      </c>
      <c r="C8" s="1">
        <f t="shared" ref="C8:D8" si="2">SUM(C3:C7)</f>
        <v>32</v>
      </c>
      <c r="D8" s="11">
        <f t="shared" si="2"/>
        <v>1</v>
      </c>
    </row>
    <row r="9" ht="12.75" customHeight="1"/>
    <row r="10" ht="12.75" customHeight="1">
      <c r="A10" s="1" t="s">
        <v>5</v>
      </c>
    </row>
    <row r="11" ht="12.75" customHeight="1">
      <c r="A11" s="1" t="s">
        <v>66</v>
      </c>
      <c r="C11" s="1">
        <v>31.0</v>
      </c>
    </row>
    <row r="12" ht="12.75" customHeight="1">
      <c r="A12" s="1" t="s">
        <v>67</v>
      </c>
      <c r="C12" s="1">
        <v>1.0</v>
      </c>
    </row>
    <row r="13" ht="12.75" customHeight="1">
      <c r="A13" s="1" t="s">
        <v>65</v>
      </c>
      <c r="C13" s="1">
        <f>SUM(C11:C12)</f>
        <v>32</v>
      </c>
    </row>
    <row r="14" ht="12.75" customHeight="1"/>
    <row r="15" ht="12.75" customHeight="1">
      <c r="A15" s="1" t="s">
        <v>6</v>
      </c>
      <c r="B15" s="4" t="s">
        <v>68</v>
      </c>
    </row>
    <row r="16" ht="12.75" customHeight="1">
      <c r="A16" s="1" t="s">
        <v>70</v>
      </c>
      <c r="B16" s="4" t="s">
        <v>71</v>
      </c>
      <c r="C16" s="1">
        <v>31.0</v>
      </c>
      <c r="D16" s="12">
        <f t="shared" ref="D16:D17" si="3">C16/$C$18</f>
        <v>0.96875</v>
      </c>
    </row>
    <row r="17" ht="12.75" customHeight="1">
      <c r="A17" s="1" t="s">
        <v>74</v>
      </c>
      <c r="B17" s="4" t="s">
        <v>75</v>
      </c>
      <c r="C17" s="1">
        <v>1.0</v>
      </c>
      <c r="D17" s="12">
        <f t="shared" si="3"/>
        <v>0.03125</v>
      </c>
    </row>
    <row r="18" ht="12.75" customHeight="1">
      <c r="A18" s="1" t="s">
        <v>65</v>
      </c>
      <c r="C18" s="1">
        <f t="shared" ref="C18:D18" si="4">SUM(C16:C17)</f>
        <v>32</v>
      </c>
      <c r="D18" s="12">
        <f t="shared" si="4"/>
        <v>1</v>
      </c>
    </row>
    <row r="19" ht="12.75" customHeight="1"/>
    <row r="20" ht="12.75" customHeight="1"/>
    <row r="21" ht="12.75" customHeight="1">
      <c r="A21" s="1" t="s">
        <v>7</v>
      </c>
      <c r="B21" s="4" t="s">
        <v>77</v>
      </c>
    </row>
    <row r="22" ht="12.75" customHeight="1">
      <c r="A22" s="1" t="s">
        <v>78</v>
      </c>
      <c r="B22" s="4" t="s">
        <v>79</v>
      </c>
      <c r="C22" s="1">
        <v>10.0</v>
      </c>
      <c r="D22" s="13">
        <f>C22/C28</f>
        <v>0.3125</v>
      </c>
    </row>
    <row r="23" ht="12.75" customHeight="1">
      <c r="A23" s="1" t="s">
        <v>82</v>
      </c>
      <c r="B23" s="4" t="s">
        <v>83</v>
      </c>
      <c r="C23" s="1">
        <v>9.0</v>
      </c>
      <c r="D23" s="13">
        <f>C23/C28</f>
        <v>0.28125</v>
      </c>
    </row>
    <row r="24" ht="12.75" customHeight="1">
      <c r="A24" s="1" t="s">
        <v>85</v>
      </c>
      <c r="B24" s="4" t="s">
        <v>86</v>
      </c>
      <c r="C24" s="1">
        <v>7.0</v>
      </c>
      <c r="D24" s="13">
        <f>C24/C28</f>
        <v>0.21875</v>
      </c>
    </row>
    <row r="25" ht="12.75" customHeight="1">
      <c r="A25" s="1" t="s">
        <v>87</v>
      </c>
      <c r="B25" s="4" t="s">
        <v>89</v>
      </c>
      <c r="C25" s="1">
        <v>3.0</v>
      </c>
      <c r="D25" s="13">
        <f>C25/C28</f>
        <v>0.09375</v>
      </c>
    </row>
    <row r="26" ht="12.75" customHeight="1">
      <c r="A26" s="1" t="s">
        <v>90</v>
      </c>
      <c r="B26" s="4" t="s">
        <v>91</v>
      </c>
      <c r="C26" s="1">
        <v>2.0</v>
      </c>
      <c r="D26" s="13">
        <f>C26/C28</f>
        <v>0.0625</v>
      </c>
    </row>
    <row r="27" ht="12.75" customHeight="1">
      <c r="A27" s="1" t="s">
        <v>93</v>
      </c>
      <c r="B27" s="4" t="s">
        <v>94</v>
      </c>
      <c r="C27" s="1">
        <v>1.0</v>
      </c>
      <c r="D27" s="13">
        <f>C27/C28</f>
        <v>0.03125</v>
      </c>
    </row>
    <row r="28" ht="12.75" customHeight="1">
      <c r="A28" s="1" t="s">
        <v>65</v>
      </c>
      <c r="C28" s="1">
        <f t="shared" ref="C28:D28" si="5">SUM(C22:C27)</f>
        <v>32</v>
      </c>
      <c r="D28" s="12">
        <f t="shared" si="5"/>
        <v>1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3" width="22.13"/>
    <col customWidth="1" min="4" max="4" width="26.5"/>
    <col customWidth="1" min="5" max="5" width="16.63"/>
    <col customWidth="1" min="6" max="6" width="11.5"/>
    <col customWidth="1" min="7" max="26" width="8.63"/>
  </cols>
  <sheetData>
    <row r="1" ht="12.75" customHeight="1"/>
    <row r="2" ht="12.75" customHeight="1">
      <c r="A2" s="4" t="s">
        <v>1</v>
      </c>
    </row>
    <row r="3" ht="12.75" customHeight="1"/>
    <row r="4" ht="12.75" customHeight="1">
      <c r="B4" s="1" t="s">
        <v>54</v>
      </c>
      <c r="C4" s="1" t="s">
        <v>22</v>
      </c>
      <c r="D4" s="1" t="s">
        <v>47</v>
      </c>
      <c r="E4" s="1" t="s">
        <v>59</v>
      </c>
    </row>
    <row r="5" ht="12.75" customHeight="1">
      <c r="A5" s="1" t="s">
        <v>87</v>
      </c>
      <c r="B5" s="1">
        <v>2.0</v>
      </c>
      <c r="C5" s="1">
        <v>1.0</v>
      </c>
      <c r="D5" s="14">
        <v>0.0</v>
      </c>
      <c r="E5" s="1">
        <v>0.0</v>
      </c>
    </row>
    <row r="6" ht="12.75" customHeight="1">
      <c r="A6" s="1" t="s">
        <v>85</v>
      </c>
      <c r="B6" s="1">
        <v>0.0</v>
      </c>
      <c r="C6" s="1">
        <v>6.0</v>
      </c>
      <c r="D6" s="14">
        <v>1.0</v>
      </c>
      <c r="E6" s="1">
        <v>0.0</v>
      </c>
    </row>
    <row r="7" ht="12.75" customHeight="1">
      <c r="A7" s="1" t="s">
        <v>78</v>
      </c>
      <c r="B7" s="1">
        <v>0.0</v>
      </c>
      <c r="C7" s="1">
        <v>5.0</v>
      </c>
      <c r="D7" s="14">
        <v>4.0</v>
      </c>
      <c r="E7" s="1">
        <v>1.0</v>
      </c>
    </row>
    <row r="8" ht="12.75" customHeight="1">
      <c r="A8" s="1" t="s">
        <v>82</v>
      </c>
      <c r="B8" s="1">
        <v>1.0</v>
      </c>
      <c r="C8" s="1">
        <v>7.0</v>
      </c>
      <c r="D8" s="14">
        <v>0.0</v>
      </c>
      <c r="E8" s="1">
        <v>1.0</v>
      </c>
    </row>
    <row r="9" ht="12.75" customHeight="1">
      <c r="A9" s="1" t="s">
        <v>90</v>
      </c>
      <c r="B9" s="1">
        <v>0.0</v>
      </c>
      <c r="C9" s="1">
        <v>1.0</v>
      </c>
      <c r="D9" s="14">
        <v>1.0</v>
      </c>
      <c r="E9" s="1">
        <v>0.0</v>
      </c>
    </row>
    <row r="10" ht="12.75" customHeight="1">
      <c r="A10" s="1" t="s">
        <v>93</v>
      </c>
      <c r="B10" s="1">
        <v>0.0</v>
      </c>
      <c r="C10" s="1">
        <v>1.0</v>
      </c>
      <c r="D10" s="14">
        <v>0.0</v>
      </c>
      <c r="E10" s="1">
        <v>0.0</v>
      </c>
    </row>
    <row r="11" ht="12.75" customHeight="1"/>
    <row r="12" ht="12.75" customHeight="1">
      <c r="A12" s="1" t="s">
        <v>65</v>
      </c>
      <c r="B12" s="1">
        <f t="shared" ref="B12:C12" si="1">SUM(B5:B10)</f>
        <v>3</v>
      </c>
      <c r="C12" s="1">
        <f t="shared" si="1"/>
        <v>21</v>
      </c>
      <c r="D12" s="1">
        <f>SUM(D6:D10)</f>
        <v>6</v>
      </c>
      <c r="E12" s="1">
        <f>SUM(E5:E10)</f>
        <v>2</v>
      </c>
      <c r="F12" s="1">
        <f>SUM(B12:E13)</f>
        <v>32</v>
      </c>
    </row>
    <row r="13" ht="12.75" customHeight="1"/>
    <row r="14" ht="12.75" customHeight="1">
      <c r="A14" s="4" t="s">
        <v>14</v>
      </c>
    </row>
    <row r="15" ht="12.75" customHeight="1">
      <c r="B15" s="1" t="str">
        <f>profile!B5</f>
        <v>Never had contact with the topic</v>
      </c>
      <c r="C15" s="1" t="str">
        <f>profile!B3</f>
        <v>Heard of it, never studied</v>
      </c>
      <c r="D15" s="1" t="str">
        <f>profile!B4</f>
        <v>Studied formally, never applied</v>
      </c>
      <c r="E15" s="1" t="str">
        <f>profile!B6</f>
        <v>Applied in system development</v>
      </c>
    </row>
    <row r="16" ht="12.75" customHeight="1">
      <c r="A16" s="1" t="str">
        <f>profile!B25</f>
        <v>No experience</v>
      </c>
      <c r="B16" s="1">
        <v>2.0</v>
      </c>
      <c r="C16" s="1">
        <v>1.0</v>
      </c>
      <c r="D16" s="14">
        <v>0.0</v>
      </c>
      <c r="E16" s="1">
        <v>0.0</v>
      </c>
    </row>
    <row r="17" ht="12.75" customHeight="1">
      <c r="A17" s="1" t="str">
        <f>profile!B24</f>
        <v>&lt;1 year</v>
      </c>
      <c r="B17" s="1">
        <v>0.0</v>
      </c>
      <c r="C17" s="1">
        <v>6.0</v>
      </c>
      <c r="D17" s="14">
        <v>1.0</v>
      </c>
      <c r="E17" s="1">
        <v>0.0</v>
      </c>
    </row>
    <row r="18" ht="12.75" customHeight="1">
      <c r="A18" s="1" t="str">
        <f>profile!B22</f>
        <v>1-2 years</v>
      </c>
      <c r="B18" s="1">
        <v>0.0</v>
      </c>
      <c r="C18" s="1">
        <v>5.0</v>
      </c>
      <c r="D18" s="14">
        <v>4.0</v>
      </c>
      <c r="E18" s="1">
        <v>1.0</v>
      </c>
    </row>
    <row r="19" ht="12.75" customHeight="1">
      <c r="A19" s="1" t="str">
        <f>profile!B23</f>
        <v>2-5 years</v>
      </c>
      <c r="B19" s="1">
        <v>1.0</v>
      </c>
      <c r="C19" s="1">
        <v>7.0</v>
      </c>
      <c r="D19" s="14">
        <v>0.0</v>
      </c>
      <c r="E19" s="1">
        <v>1.0</v>
      </c>
    </row>
    <row r="20" ht="12.75" customHeight="1">
      <c r="A20" s="1" t="str">
        <f>profile!B26</f>
        <v>&gt; 5 years</v>
      </c>
      <c r="B20" s="1">
        <v>0.0</v>
      </c>
      <c r="C20" s="1">
        <v>1.0</v>
      </c>
      <c r="D20" s="14">
        <v>1.0</v>
      </c>
      <c r="E20" s="1">
        <v>0.0</v>
      </c>
    </row>
    <row r="21" ht="12.75" customHeight="1">
      <c r="A21" s="1" t="str">
        <f>profile!B27</f>
        <v>Other areas only</v>
      </c>
      <c r="B21" s="1">
        <v>0.0</v>
      </c>
      <c r="C21" s="1">
        <v>1.0</v>
      </c>
      <c r="D21" s="14">
        <v>0.0</v>
      </c>
      <c r="E21" s="1">
        <v>0.0</v>
      </c>
    </row>
    <row r="22" ht="12.75" customHeight="1"/>
    <row r="23" ht="12.75" customHeight="1">
      <c r="A23" s="4" t="s">
        <v>65</v>
      </c>
      <c r="B23" s="1">
        <f t="shared" ref="B23:E23" si="2">SUM(B15:B21)</f>
        <v>3</v>
      </c>
      <c r="C23" s="1">
        <f t="shared" si="2"/>
        <v>21</v>
      </c>
      <c r="D23" s="1">
        <f t="shared" si="2"/>
        <v>6</v>
      </c>
      <c r="E23" s="1">
        <f t="shared" si="2"/>
        <v>2</v>
      </c>
      <c r="F23" s="1">
        <f>sum(B23:E23)</f>
        <v>32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875" footer="0.0" header="0.0" left="0.7875" right="0.7875" top="0.7875"/>
  <pageSetup paperSize="9" orientation="portrait"/>
  <drawing r:id="rId1"/>
</worksheet>
</file>